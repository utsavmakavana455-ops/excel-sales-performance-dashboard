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1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ales_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Guide" sheetId="5" state="visible" r:id="rId5"/>
    <sheet xmlns:r="http://schemas.openxmlformats.org/officeDocument/2006/relationships" name="Guide1" sheetId="6" state="visible" r:id="rId6"/>
  </sheets>
  <definedNames>
    <definedName name="_xlnm._FilterDatabase" localSheetId="2" hidden="1">'Sales_Data'!$A$1:$N$101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€#,##0.00"/>
    <numFmt numFmtId="167" formatCode="0.0%"/>
    <numFmt numFmtId="168" formatCode="mmm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</font>
    <font>
      <b val="1"/>
      <color rgb="0017365D"/>
      <sz val="12"/>
    </font>
    <font>
      <b val="1"/>
      <color rgb="00FFFFFF"/>
      <sz val="24"/>
    </font>
    <font>
      <i val="1"/>
      <color rgb="00666666"/>
    </font>
    <font>
      <b val="1"/>
      <color rgb="00FFFFFF"/>
      <sz val="11"/>
    </font>
    <font>
      <b val="1"/>
      <color rgb="001F1F1F"/>
      <sz val="18"/>
    </font>
    <font>
      <b val="1"/>
      <color rgb="0017365D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8064A2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7" fontId="8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0" fontId="1" fillId="2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" fontId="4" fillId="5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166" fontId="4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67" fontId="4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9" fillId="5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Completed Sales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'Analysis'!$G$5:$G$16</f>
            </numRef>
          </cat>
          <val>
            <numRef>
              <f>'Analysis'!$I$5:$I$16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'Analysis'!$D$5:$D$7</f>
            </numRef>
          </cat>
          <val>
            <numRef>
              <f>'Analysis'!$F$5:$F$7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Completed Sales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'Analysis'!$A$14:$A$21</f>
            </numRef>
          </cat>
          <val>
            <numRef>
              <f>'Analysis'!$C$14:$C$21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Mix</a:t>
            </a:r>
          </a:p>
        </rich>
      </tx>
    </title>
    <plotArea>
      <doughnutChart>
        <varyColors val="1"/>
        <ser>
          <idx val="0"/>
          <order val="0"/>
          <tx>
            <strRef>
              <f>'Analysis'!G25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'Analysis'!$F$26:$F$28</f>
            </numRef>
          </cat>
          <val>
            <numRef>
              <f>'Analysis'!$G$26:$G$28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 by Completed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'Analysis'!$A$26:$A$35</f>
            </numRef>
          </cat>
          <val>
            <numRef>
              <f>'Analysis'!$D$26:$D$35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(€)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22</row>
      <rowOff>0</rowOff>
    </from>
    <ext cx="28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9</col>
      <colOff>0</colOff>
      <row>22</row>
      <rowOff>0</rowOff>
    </from>
    <ext cx="32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N101" headerRowCount="1">
  <autoFilter ref="A1:N101"/>
  <tableColumns count="14">
    <tableColumn id="1" name="Order_ID"/>
    <tableColumn id="2" name="Order_Date"/>
    <tableColumn id="3" name="Customer_Name"/>
    <tableColumn id="4" name="Gender"/>
    <tableColumn id="5" name="Age"/>
    <tableColumn id="6" name="City"/>
    <tableColumn id="7" name="Product"/>
    <tableColumn id="8" name="Category"/>
    <tableColumn id="9" name="Quantity"/>
    <tableColumn id="10" name="Unit_Price"/>
    <tableColumn id="11" name="Discount"/>
    <tableColumn id="12" name="Total_Amount"/>
    <tableColumn id="13" name="Payment_Method"/>
    <tableColumn id="14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5" customHeight="1">
      <c r="A1" s="1" t="inlineStr">
        <is>
          <t>SALES PERFORMANCE DASHBOARD</t>
        </is>
      </c>
    </row>
    <row r="2" ht="25" customHeight="1"/>
    <row r="3">
      <c r="A3" s="2" t="inlineStr">
        <is>
          <t>Executive view • Completed orders are used for performance KPIs and sales analysis</t>
        </is>
      </c>
    </row>
    <row r="5" ht="28" customHeight="1">
      <c r="A5" s="3" t="inlineStr">
        <is>
          <t>Total Orders</t>
        </is>
      </c>
      <c r="B5" s="4" t="n"/>
      <c r="C5" s="4" t="n"/>
      <c r="D5" s="5" t="inlineStr">
        <is>
          <t>Total Sales</t>
        </is>
      </c>
      <c r="E5" s="4" t="n"/>
      <c r="F5" s="4" t="n"/>
      <c r="G5" s="6" t="inlineStr">
        <is>
          <t>Completed Sales</t>
        </is>
      </c>
      <c r="H5" s="4" t="n"/>
      <c r="I5" s="4" t="n"/>
      <c r="J5" s="7" t="inlineStr">
        <is>
          <t>Units Sold</t>
        </is>
      </c>
      <c r="K5" s="4" t="n"/>
      <c r="L5" s="4" t="n"/>
      <c r="M5" s="8" t="inlineStr">
        <is>
          <t>Completion Rate</t>
        </is>
      </c>
      <c r="N5" s="4" t="n"/>
    </row>
    <row r="6" ht="28" customHeight="1">
      <c r="A6" s="9">
        <f>Analysis!B4</f>
        <v/>
      </c>
      <c r="B6" s="4" t="n"/>
      <c r="C6" s="4" t="n"/>
      <c r="D6" s="10">
        <f>Analysis!B5</f>
        <v/>
      </c>
      <c r="E6" s="4" t="n"/>
      <c r="F6" s="4" t="n"/>
      <c r="G6" s="10">
        <f>Analysis!B6</f>
        <v/>
      </c>
      <c r="H6" s="4" t="n"/>
      <c r="I6" s="4" t="n"/>
      <c r="J6" s="9">
        <f>Analysis!B7</f>
        <v/>
      </c>
      <c r="K6" s="4" t="n"/>
      <c r="L6" s="4" t="n"/>
      <c r="M6" s="11">
        <f>Analysis!B9</f>
        <v/>
      </c>
      <c r="N6" s="4" t="n"/>
    </row>
    <row r="39">
      <c r="A39" s="12" t="inlineStr">
        <is>
          <t>HOW TO USE THIS DASHBOARD</t>
        </is>
      </c>
    </row>
    <row r="40">
      <c r="A40" s="13" t="inlineStr">
        <is>
          <t>1. Update or paste new rows into the Sales_Data table.</t>
        </is>
      </c>
    </row>
    <row r="41">
      <c r="A41" s="13" t="inlineStr">
        <is>
          <t>2. Use the Analysis sheet to inspect category, city, payment, product, status and monthly performance.</t>
        </is>
      </c>
    </row>
    <row r="42">
      <c r="A42" s="13" t="inlineStr">
        <is>
          <t>3. The Dashboard focuses on completed orders for operational sales performance.</t>
        </is>
      </c>
    </row>
    <row r="43">
      <c r="A43" s="13" t="inlineStr">
        <is>
          <t>4. Recalculate formulas in Excel after adding data. For a fully interactive PivotTable/Slicer version, create PivotTables from the SalesData table and add Slicers.</t>
        </is>
      </c>
    </row>
  </sheetData>
  <mergeCells count="17">
    <mergeCell ref="A40:N40"/>
    <mergeCell ref="A1:N2"/>
    <mergeCell ref="J5:L5"/>
    <mergeCell ref="J6:L6"/>
    <mergeCell ref="A3:N3"/>
    <mergeCell ref="A39:N39"/>
    <mergeCell ref="D5:F5"/>
    <mergeCell ref="A5:C5"/>
    <mergeCell ref="G5:I5"/>
    <mergeCell ref="G6:I6"/>
    <mergeCell ref="M6:N6"/>
    <mergeCell ref="A6:C6"/>
    <mergeCell ref="A43:N43"/>
    <mergeCell ref="A41:N41"/>
    <mergeCell ref="M5:N5"/>
    <mergeCell ref="A42:N42"/>
    <mergeCell ref="D6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  <col width="16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2" t="inlineStr">
        <is>
          <t>Order_ID</t>
        </is>
      </c>
      <c r="B1" s="12" t="inlineStr">
        <is>
          <t>Order_Date</t>
        </is>
      </c>
      <c r="C1" s="12" t="inlineStr">
        <is>
          <t>Customer_Name</t>
        </is>
      </c>
      <c r="D1" s="12" t="inlineStr">
        <is>
          <t>Gender</t>
        </is>
      </c>
      <c r="E1" s="12" t="inlineStr">
        <is>
          <t>Age</t>
        </is>
      </c>
      <c r="F1" s="12" t="inlineStr">
        <is>
          <t>City</t>
        </is>
      </c>
      <c r="G1" s="12" t="inlineStr">
        <is>
          <t>Product</t>
        </is>
      </c>
      <c r="H1" s="12" t="inlineStr">
        <is>
          <t>Category</t>
        </is>
      </c>
      <c r="I1" s="12" t="inlineStr">
        <is>
          <t>Quantity</t>
        </is>
      </c>
      <c r="J1" s="12" t="inlineStr">
        <is>
          <t>Unit_Price</t>
        </is>
      </c>
      <c r="K1" s="12" t="inlineStr">
        <is>
          <t>Discount</t>
        </is>
      </c>
      <c r="L1" s="12" t="inlineStr">
        <is>
          <t>Total_Amount</t>
        </is>
      </c>
      <c r="M1" s="12" t="inlineStr">
        <is>
          <t>Payment_Method</t>
        </is>
      </c>
      <c r="N1" s="12" t="inlineStr">
        <is>
          <t>Status</t>
        </is>
      </c>
      <c r="O1" s="14" t="inlineStr">
        <is>
          <t>Month</t>
        </is>
      </c>
      <c r="P1" s="14" t="inlineStr">
        <is>
          <t>Year</t>
        </is>
      </c>
      <c r="Q1" s="14" t="inlineStr">
        <is>
          <t>Net_Sales</t>
        </is>
      </c>
      <c r="R1" s="14" t="inlineStr">
        <is>
          <t>Completed_Sales</t>
        </is>
      </c>
      <c r="S1" s="14" t="inlineStr">
        <is>
          <t>Cancelled_Sales</t>
        </is>
      </c>
    </row>
    <row r="2">
      <c r="A2" t="n">
        <v>1001</v>
      </c>
      <c r="B2" s="15" t="n">
        <v>46196</v>
      </c>
      <c r="C2" t="inlineStr">
        <is>
          <t>Sophia Patel</t>
        </is>
      </c>
      <c r="D2" t="inlineStr">
        <is>
          <t>Male</t>
        </is>
      </c>
      <c r="E2" s="16" t="n">
        <v>55</v>
      </c>
      <c r="F2" t="inlineStr">
        <is>
          <t>Leipzig</t>
        </is>
      </c>
      <c r="G2" t="inlineStr">
        <is>
          <t>Headphones</t>
        </is>
      </c>
      <c r="H2" t="inlineStr">
        <is>
          <t>Accessories</t>
        </is>
      </c>
      <c r="I2" s="16" t="n">
        <v>2</v>
      </c>
      <c r="J2" s="17" t="n">
        <v>63.48</v>
      </c>
      <c r="K2" s="17" t="n">
        <v>0</v>
      </c>
      <c r="L2" s="17" t="n">
        <v>126.96</v>
      </c>
      <c r="M2" t="inlineStr">
        <is>
          <t>Card</t>
        </is>
      </c>
      <c r="N2" t="inlineStr">
        <is>
          <t>Completed</t>
        </is>
      </c>
      <c r="O2">
        <f>TEXT(B2,"mmm")</f>
        <v/>
      </c>
      <c r="P2">
        <f>YEAR(B2)</f>
        <v/>
      </c>
      <c r="Q2" s="17">
        <f>L2*(1-K2)</f>
        <v/>
      </c>
      <c r="R2" s="17">
        <f>IF(N2="Completed",L2,0)</f>
        <v/>
      </c>
      <c r="S2" s="17">
        <f>IF(N2="Cancelled",L2,0)</f>
        <v/>
      </c>
    </row>
    <row r="3">
      <c r="A3" t="n">
        <v>1002</v>
      </c>
      <c r="B3" s="15" t="n">
        <v>46073</v>
      </c>
      <c r="C3" t="inlineStr">
        <is>
          <t>Liam Brown</t>
        </is>
      </c>
      <c r="D3" t="inlineStr">
        <is>
          <t>Female</t>
        </is>
      </c>
      <c r="E3" s="16" t="n">
        <v>32</v>
      </c>
      <c r="F3" t="inlineStr">
        <is>
          <t>Stuttgart</t>
        </is>
      </c>
      <c r="G3" t="inlineStr">
        <is>
          <t>Mouse</t>
        </is>
      </c>
      <c r="H3" t="inlineStr">
        <is>
          <t>Accessories</t>
        </is>
      </c>
      <c r="I3" s="16" t="n">
        <v>5</v>
      </c>
      <c r="J3" s="17" t="n">
        <v>54.13</v>
      </c>
      <c r="K3" s="17" t="n">
        <v>0.2</v>
      </c>
      <c r="L3" s="17" t="n">
        <v>216.52</v>
      </c>
      <c r="M3" t="inlineStr">
        <is>
          <t>Bank Transfer</t>
        </is>
      </c>
      <c r="N3" t="inlineStr">
        <is>
          <t>Completed</t>
        </is>
      </c>
      <c r="O3">
        <f>TEXT(B3,"mmm")</f>
        <v/>
      </c>
      <c r="P3">
        <f>YEAR(B3)</f>
        <v/>
      </c>
      <c r="Q3" s="17">
        <f>L3*(1-K3)</f>
        <v/>
      </c>
      <c r="R3" s="17">
        <f>IF(N3="Completed",L3,0)</f>
        <v/>
      </c>
      <c r="S3" s="17">
        <f>IF(N3="Cancelled",L3,0)</f>
        <v/>
      </c>
    </row>
    <row r="4">
      <c r="A4" t="n">
        <v>1003</v>
      </c>
      <c r="B4" s="15" t="n">
        <v>46109</v>
      </c>
      <c r="C4" t="inlineStr">
        <is>
          <t>Aarav Smith</t>
        </is>
      </c>
      <c r="D4" t="inlineStr">
        <is>
          <t>Male</t>
        </is>
      </c>
      <c r="E4" s="16" t="n">
        <v>23</v>
      </c>
      <c r="F4" t="inlineStr">
        <is>
          <t>Leipzig</t>
        </is>
      </c>
      <c r="G4" t="inlineStr">
        <is>
          <t>Desk</t>
        </is>
      </c>
      <c r="H4" t="inlineStr">
        <is>
          <t>Furniture</t>
        </is>
      </c>
      <c r="I4" s="16" t="n">
        <v>3</v>
      </c>
      <c r="J4" s="17" t="n">
        <v>282.81</v>
      </c>
      <c r="K4" s="17" t="n">
        <v>0.05</v>
      </c>
      <c r="L4" s="17" t="n">
        <v>806.01</v>
      </c>
      <c r="M4" t="inlineStr">
        <is>
          <t>Card</t>
        </is>
      </c>
      <c r="N4" t="inlineStr">
        <is>
          <t>Completed</t>
        </is>
      </c>
      <c r="O4">
        <f>TEXT(B4,"mmm")</f>
        <v/>
      </c>
      <c r="P4">
        <f>YEAR(B4)</f>
        <v/>
      </c>
      <c r="Q4" s="17">
        <f>L4*(1-K4)</f>
        <v/>
      </c>
      <c r="R4" s="17">
        <f>IF(N4="Completed",L4,0)</f>
        <v/>
      </c>
      <c r="S4" s="17">
        <f>IF(N4="Cancelled",L4,0)</f>
        <v/>
      </c>
    </row>
    <row r="5">
      <c r="A5" t="n">
        <v>1004</v>
      </c>
      <c r="B5" s="15" t="n">
        <v>46054</v>
      </c>
      <c r="C5" t="inlineStr">
        <is>
          <t>Isla Martin</t>
        </is>
      </c>
      <c r="D5" t="inlineStr">
        <is>
          <t>Female</t>
        </is>
      </c>
      <c r="E5" s="16" t="n">
        <v>23</v>
      </c>
      <c r="F5" t="inlineStr">
        <is>
          <t>Cologne</t>
        </is>
      </c>
      <c r="G5" t="inlineStr">
        <is>
          <t>Headphones</t>
        </is>
      </c>
      <c r="H5" t="inlineStr">
        <is>
          <t>Accessories</t>
        </is>
      </c>
      <c r="I5" s="16" t="n">
        <v>1</v>
      </c>
      <c r="J5" s="17" t="n">
        <v>139.46</v>
      </c>
      <c r="K5" s="17" t="n">
        <v>0.2</v>
      </c>
      <c r="L5" s="17" t="n">
        <v>111.57</v>
      </c>
      <c r="M5" t="inlineStr">
        <is>
          <t>Bank Transfer</t>
        </is>
      </c>
      <c r="N5" t="inlineStr">
        <is>
          <t>Cancelled</t>
        </is>
      </c>
      <c r="O5">
        <f>TEXT(B5,"mmm")</f>
        <v/>
      </c>
      <c r="P5">
        <f>YEAR(B5)</f>
        <v/>
      </c>
      <c r="Q5" s="17">
        <f>L5*(1-K5)</f>
        <v/>
      </c>
      <c r="R5" s="17">
        <f>IF(N5="Completed",L5,0)</f>
        <v/>
      </c>
      <c r="S5" s="17">
        <f>IF(N5="Cancelled",L5,0)</f>
        <v/>
      </c>
    </row>
    <row r="6">
      <c r="A6" t="n">
        <v>1005</v>
      </c>
      <c r="B6" s="15" t="n">
        <v>46097</v>
      </c>
      <c r="C6" t="inlineStr">
        <is>
          <t>Isla Martin</t>
        </is>
      </c>
      <c r="D6" t="inlineStr">
        <is>
          <t>Male</t>
        </is>
      </c>
      <c r="E6" s="16" t="n">
        <v>32</v>
      </c>
      <c r="F6" t="inlineStr">
        <is>
          <t>Hamburg</t>
        </is>
      </c>
      <c r="G6" t="inlineStr">
        <is>
          <t>Mouse</t>
        </is>
      </c>
      <c r="H6" t="inlineStr">
        <is>
          <t>Accessories</t>
        </is>
      </c>
      <c r="I6" s="16" t="n">
        <v>1</v>
      </c>
      <c r="J6" s="17" t="n">
        <v>17.98</v>
      </c>
      <c r="K6" s="17" t="n">
        <v>0.05</v>
      </c>
      <c r="L6" s="17" t="n">
        <v>17.08</v>
      </c>
      <c r="M6" t="inlineStr">
        <is>
          <t>PayPal</t>
        </is>
      </c>
      <c r="N6" t="inlineStr">
        <is>
          <t>Completed</t>
        </is>
      </c>
      <c r="O6">
        <f>TEXT(B6,"mmm")</f>
        <v/>
      </c>
      <c r="P6">
        <f>YEAR(B6)</f>
        <v/>
      </c>
      <c r="Q6" s="17">
        <f>L6*(1-K6)</f>
        <v/>
      </c>
      <c r="R6" s="17">
        <f>IF(N6="Completed",L6,0)</f>
        <v/>
      </c>
      <c r="S6" s="17">
        <f>IF(N6="Cancelled",L6,0)</f>
        <v/>
      </c>
    </row>
    <row r="7">
      <c r="A7" t="n">
        <v>1006</v>
      </c>
      <c r="B7" s="15" t="n">
        <v>46202</v>
      </c>
      <c r="C7" t="inlineStr">
        <is>
          <t>Leo Wilson</t>
        </is>
      </c>
      <c r="D7" t="inlineStr">
        <is>
          <t>Male</t>
        </is>
      </c>
      <c r="E7" s="16" t="n">
        <v>28</v>
      </c>
      <c r="F7" t="inlineStr">
        <is>
          <t>Frankfurt</t>
        </is>
      </c>
      <c r="G7" t="inlineStr">
        <is>
          <t>Keyboard</t>
        </is>
      </c>
      <c r="H7" t="inlineStr">
        <is>
          <t>Accessories</t>
        </is>
      </c>
      <c r="I7" s="16" t="n">
        <v>3</v>
      </c>
      <c r="J7" s="17" t="n">
        <v>58.75</v>
      </c>
      <c r="K7" s="17" t="n">
        <v>0.1</v>
      </c>
      <c r="L7" s="17" t="n">
        <v>158.62</v>
      </c>
      <c r="M7" t="inlineStr">
        <is>
          <t>Card</t>
        </is>
      </c>
      <c r="N7" t="inlineStr">
        <is>
          <t>Pending</t>
        </is>
      </c>
      <c r="O7">
        <f>TEXT(B7,"mmm")</f>
        <v/>
      </c>
      <c r="P7">
        <f>YEAR(B7)</f>
        <v/>
      </c>
      <c r="Q7" s="17">
        <f>L7*(1-K7)</f>
        <v/>
      </c>
      <c r="R7" s="17">
        <f>IF(N7="Completed",L7,0)</f>
        <v/>
      </c>
      <c r="S7" s="17">
        <f>IF(N7="Cancelled",L7,0)</f>
        <v/>
      </c>
    </row>
    <row r="8">
      <c r="A8" t="n">
        <v>1007</v>
      </c>
      <c r="B8" s="15" t="n">
        <v>46081</v>
      </c>
      <c r="C8" t="inlineStr">
        <is>
          <t>Daniel Miller</t>
        </is>
      </c>
      <c r="D8" t="inlineStr">
        <is>
          <t>Male</t>
        </is>
      </c>
      <c r="E8" s="16" t="n">
        <v>38</v>
      </c>
      <c r="F8" t="inlineStr">
        <is>
          <t>Leipzig</t>
        </is>
      </c>
      <c r="G8" t="inlineStr">
        <is>
          <t>USB Hub</t>
        </is>
      </c>
      <c r="H8" t="inlineStr">
        <is>
          <t>Accessories</t>
        </is>
      </c>
      <c r="I8" s="16" t="n">
        <v>2</v>
      </c>
      <c r="J8" s="17" t="n">
        <v>54.23</v>
      </c>
      <c r="K8" s="17" t="n">
        <v>0</v>
      </c>
      <c r="L8" s="17" t="n">
        <v>108.46</v>
      </c>
      <c r="M8" t="inlineStr">
        <is>
          <t>PayPal</t>
        </is>
      </c>
      <c r="N8" t="inlineStr">
        <is>
          <t>Completed</t>
        </is>
      </c>
      <c r="O8">
        <f>TEXT(B8,"mmm")</f>
        <v/>
      </c>
      <c r="P8">
        <f>YEAR(B8)</f>
        <v/>
      </c>
      <c r="Q8" s="17">
        <f>L8*(1-K8)</f>
        <v/>
      </c>
      <c r="R8" s="17">
        <f>IF(N8="Completed",L8,0)</f>
        <v/>
      </c>
      <c r="S8" s="17">
        <f>IF(N8="Cancelled",L8,0)</f>
        <v/>
      </c>
    </row>
    <row r="9">
      <c r="A9" t="n">
        <v>1008</v>
      </c>
      <c r="B9" s="15" t="n">
        <v>46187</v>
      </c>
      <c r="C9" t="inlineStr">
        <is>
          <t>Lucas Martin</t>
        </is>
      </c>
      <c r="D9" t="inlineStr">
        <is>
          <t>Female</t>
        </is>
      </c>
      <c r="E9" s="16" t="n">
        <v>27</v>
      </c>
      <c r="F9" t="inlineStr">
        <is>
          <t>Cologne</t>
        </is>
      </c>
      <c r="G9" t="inlineStr">
        <is>
          <t>Office Chair</t>
        </is>
      </c>
      <c r="H9" t="inlineStr">
        <is>
          <t>Furniture</t>
        </is>
      </c>
      <c r="I9" s="16" t="n">
        <v>2</v>
      </c>
      <c r="J9" s="17" t="n">
        <v>303.52</v>
      </c>
      <c r="K9" s="17" t="n">
        <v>0.15</v>
      </c>
      <c r="L9" s="17" t="n">
        <v>515.98</v>
      </c>
      <c r="M9" t="inlineStr">
        <is>
          <t>Card</t>
        </is>
      </c>
      <c r="N9" t="inlineStr">
        <is>
          <t>Completed</t>
        </is>
      </c>
      <c r="O9">
        <f>TEXT(B9,"mmm")</f>
        <v/>
      </c>
      <c r="P9">
        <f>YEAR(B9)</f>
        <v/>
      </c>
      <c r="Q9" s="17">
        <f>L9*(1-K9)</f>
        <v/>
      </c>
      <c r="R9" s="17">
        <f>IF(N9="Completed",L9,0)</f>
        <v/>
      </c>
      <c r="S9" s="17">
        <f>IF(N9="Cancelled",L9,0)</f>
        <v/>
      </c>
    </row>
    <row r="10">
      <c r="A10" t="n">
        <v>1009</v>
      </c>
      <c r="B10" s="15" t="n">
        <v>46125</v>
      </c>
      <c r="C10" t="inlineStr">
        <is>
          <t>Grace Thomas</t>
        </is>
      </c>
      <c r="D10" t="inlineStr">
        <is>
          <t>Female</t>
        </is>
      </c>
      <c r="E10" s="16" t="n">
        <v>32</v>
      </c>
      <c r="F10" t="inlineStr">
        <is>
          <t>Munich</t>
        </is>
      </c>
      <c r="G10" t="inlineStr">
        <is>
          <t>Headphones</t>
        </is>
      </c>
      <c r="H10" t="inlineStr">
        <is>
          <t>Accessories</t>
        </is>
      </c>
      <c r="I10" s="16" t="n">
        <v>5</v>
      </c>
      <c r="J10" s="17" t="n">
        <v>94.27</v>
      </c>
      <c r="K10" s="17" t="n">
        <v>0.2</v>
      </c>
      <c r="L10" s="17" t="n">
        <v>377.08</v>
      </c>
      <c r="M10" t="inlineStr">
        <is>
          <t>Bank Transfer</t>
        </is>
      </c>
      <c r="N10" t="inlineStr">
        <is>
          <t>Pending</t>
        </is>
      </c>
      <c r="O10">
        <f>TEXT(B10,"mmm")</f>
        <v/>
      </c>
      <c r="P10">
        <f>YEAR(B10)</f>
        <v/>
      </c>
      <c r="Q10" s="17">
        <f>L10*(1-K10)</f>
        <v/>
      </c>
      <c r="R10" s="17">
        <f>IF(N10="Completed",L10,0)</f>
        <v/>
      </c>
      <c r="S10" s="17">
        <f>IF(N10="Cancelled",L10,0)</f>
        <v/>
      </c>
    </row>
    <row r="11">
      <c r="A11" t="n">
        <v>1010</v>
      </c>
      <c r="B11" s="15" t="n">
        <v>46175</v>
      </c>
      <c r="C11" t="inlineStr">
        <is>
          <t>Liam Patel</t>
        </is>
      </c>
      <c r="D11" t="inlineStr">
        <is>
          <t>Male</t>
        </is>
      </c>
      <c r="E11" s="16" t="n">
        <v>42</v>
      </c>
      <c r="F11" t="inlineStr">
        <is>
          <t>Leipzig</t>
        </is>
      </c>
      <c r="G11" t="inlineStr">
        <is>
          <t>Monitor</t>
        </is>
      </c>
      <c r="H11" t="inlineStr">
        <is>
          <t>Electronics</t>
        </is>
      </c>
      <c r="I11" s="16" t="n">
        <v>2</v>
      </c>
      <c r="J11" s="17" t="n">
        <v>338.23</v>
      </c>
      <c r="K11" s="17" t="n">
        <v>0.15</v>
      </c>
      <c r="L11" s="17" t="n">
        <v>574.99</v>
      </c>
      <c r="M11" t="inlineStr">
        <is>
          <t>Bank Transfer</t>
        </is>
      </c>
      <c r="N11" t="inlineStr">
        <is>
          <t>Pending</t>
        </is>
      </c>
      <c r="O11">
        <f>TEXT(B11,"mmm")</f>
        <v/>
      </c>
      <c r="P11">
        <f>YEAR(B11)</f>
        <v/>
      </c>
      <c r="Q11" s="17">
        <f>L11*(1-K11)</f>
        <v/>
      </c>
      <c r="R11" s="17">
        <f>IF(N11="Completed",L11,0)</f>
        <v/>
      </c>
      <c r="S11" s="17">
        <f>IF(N11="Cancelled",L11,0)</f>
        <v/>
      </c>
    </row>
    <row r="12">
      <c r="A12" t="n">
        <v>1011</v>
      </c>
      <c r="B12" s="15" t="n">
        <v>46197</v>
      </c>
      <c r="C12" t="inlineStr">
        <is>
          <t>Rohan Miller</t>
        </is>
      </c>
      <c r="D12" t="inlineStr">
        <is>
          <t>Female</t>
        </is>
      </c>
      <c r="E12" s="16" t="n">
        <v>39</v>
      </c>
      <c r="F12" t="inlineStr">
        <is>
          <t>Hamburg</t>
        </is>
      </c>
      <c r="G12" t="inlineStr">
        <is>
          <t>USB Hub</t>
        </is>
      </c>
      <c r="H12" t="inlineStr">
        <is>
          <t>Accessories</t>
        </is>
      </c>
      <c r="I12" s="16" t="n">
        <v>1</v>
      </c>
      <c r="J12" s="17" t="n">
        <v>54.01</v>
      </c>
      <c r="K12" s="17" t="n">
        <v>0</v>
      </c>
      <c r="L12" s="17" t="n">
        <v>54.01</v>
      </c>
      <c r="M12" t="inlineStr">
        <is>
          <t>PayPal</t>
        </is>
      </c>
      <c r="N12" t="inlineStr">
        <is>
          <t>Pending</t>
        </is>
      </c>
      <c r="O12">
        <f>TEXT(B12,"mmm")</f>
        <v/>
      </c>
      <c r="P12">
        <f>YEAR(B12)</f>
        <v/>
      </c>
      <c r="Q12" s="17">
        <f>L12*(1-K12)</f>
        <v/>
      </c>
      <c r="R12" s="17">
        <f>IF(N12="Completed",L12,0)</f>
        <v/>
      </c>
      <c r="S12" s="17">
        <f>IF(N12="Cancelled",L12,0)</f>
        <v/>
      </c>
    </row>
    <row r="13">
      <c r="A13" t="n">
        <v>1012</v>
      </c>
      <c r="B13" s="15" t="n">
        <v>46152</v>
      </c>
      <c r="C13" t="inlineStr">
        <is>
          <t>Olivia Anderson</t>
        </is>
      </c>
      <c r="D13" t="inlineStr">
        <is>
          <t>Male</t>
        </is>
      </c>
      <c r="E13" s="16" t="n">
        <v>37</v>
      </c>
      <c r="F13" t="inlineStr">
        <is>
          <t>Frankfurt</t>
        </is>
      </c>
      <c r="G13" t="inlineStr">
        <is>
          <t>Laptop</t>
        </is>
      </c>
      <c r="H13" t="inlineStr">
        <is>
          <t>Electronics</t>
        </is>
      </c>
      <c r="I13" s="16" t="n">
        <v>3</v>
      </c>
      <c r="J13" s="17" t="n">
        <v>1378.92</v>
      </c>
      <c r="K13" s="17" t="n">
        <v>0.05</v>
      </c>
      <c r="L13" s="17" t="n">
        <v>3929.92</v>
      </c>
      <c r="M13" t="inlineStr">
        <is>
          <t>Card</t>
        </is>
      </c>
      <c r="N13" t="inlineStr">
        <is>
          <t>Completed</t>
        </is>
      </c>
      <c r="O13">
        <f>TEXT(B13,"mmm")</f>
        <v/>
      </c>
      <c r="P13">
        <f>YEAR(B13)</f>
        <v/>
      </c>
      <c r="Q13" s="17">
        <f>L13*(1-K13)</f>
        <v/>
      </c>
      <c r="R13" s="17">
        <f>IF(N13="Completed",L13,0)</f>
        <v/>
      </c>
      <c r="S13" s="17">
        <f>IF(N13="Cancelled",L13,0)</f>
        <v/>
      </c>
    </row>
    <row r="14">
      <c r="A14" t="n">
        <v>1013</v>
      </c>
      <c r="B14" s="15" t="n">
        <v>46027</v>
      </c>
      <c r="C14" t="inlineStr">
        <is>
          <t>Olivia Thomas</t>
        </is>
      </c>
      <c r="D14" t="inlineStr">
        <is>
          <t>Male</t>
        </is>
      </c>
      <c r="E14" s="16" t="n">
        <v>41</v>
      </c>
      <c r="F14" t="inlineStr">
        <is>
          <t>Cologne</t>
        </is>
      </c>
      <c r="G14" t="inlineStr">
        <is>
          <t>USB Hub</t>
        </is>
      </c>
      <c r="H14" t="inlineStr">
        <is>
          <t>Accessories</t>
        </is>
      </c>
      <c r="I14" s="16" t="n">
        <v>1</v>
      </c>
      <c r="J14" s="17" t="n">
        <v>49.95</v>
      </c>
      <c r="K14" s="17" t="n">
        <v>0.15</v>
      </c>
      <c r="L14" s="17" t="n">
        <v>42.46</v>
      </c>
      <c r="M14" t="inlineStr">
        <is>
          <t>Card</t>
        </is>
      </c>
      <c r="N14" t="inlineStr">
        <is>
          <t>Completed</t>
        </is>
      </c>
      <c r="O14">
        <f>TEXT(B14,"mmm")</f>
        <v/>
      </c>
      <c r="P14">
        <f>YEAR(B14)</f>
        <v/>
      </c>
      <c r="Q14" s="17">
        <f>L14*(1-K14)</f>
        <v/>
      </c>
      <c r="R14" s="17">
        <f>IF(N14="Completed",L14,0)</f>
        <v/>
      </c>
      <c r="S14" s="17">
        <f>IF(N14="Cancelled",L14,0)</f>
        <v/>
      </c>
    </row>
    <row r="15">
      <c r="A15" t="n">
        <v>1014</v>
      </c>
      <c r="B15" s="15" t="n">
        <v>46159</v>
      </c>
      <c r="C15" t="inlineStr">
        <is>
          <t>Mia Martin</t>
        </is>
      </c>
      <c r="D15" t="inlineStr">
        <is>
          <t>Male</t>
        </is>
      </c>
      <c r="E15" s="16" t="n">
        <v>26</v>
      </c>
      <c r="F15" t="inlineStr">
        <is>
          <t>Stuttgart</t>
        </is>
      </c>
      <c r="G15" t="inlineStr">
        <is>
          <t>Monitor</t>
        </is>
      </c>
      <c r="H15" t="inlineStr">
        <is>
          <t>Electronics</t>
        </is>
      </c>
      <c r="I15" s="16" t="n">
        <v>1</v>
      </c>
      <c r="J15" s="17" t="n">
        <v>369.57</v>
      </c>
      <c r="K15" s="17" t="n">
        <v>0</v>
      </c>
      <c r="L15" s="17" t="n">
        <v>369.57</v>
      </c>
      <c r="M15" t="inlineStr">
        <is>
          <t>Bank Transfer</t>
        </is>
      </c>
      <c r="N15" t="inlineStr">
        <is>
          <t>Completed</t>
        </is>
      </c>
      <c r="O15">
        <f>TEXT(B15,"mmm")</f>
        <v/>
      </c>
      <c r="P15">
        <f>YEAR(B15)</f>
        <v/>
      </c>
      <c r="Q15" s="17">
        <f>L15*(1-K15)</f>
        <v/>
      </c>
      <c r="R15" s="17">
        <f>IF(N15="Completed",L15,0)</f>
        <v/>
      </c>
      <c r="S15" s="17">
        <f>IF(N15="Cancelled",L15,0)</f>
        <v/>
      </c>
    </row>
    <row r="16">
      <c r="A16" t="n">
        <v>1015</v>
      </c>
      <c r="B16" s="15" t="n">
        <v>46199</v>
      </c>
      <c r="C16" t="inlineStr">
        <is>
          <t>Ethan Thomas</t>
        </is>
      </c>
      <c r="D16" t="inlineStr">
        <is>
          <t>Male</t>
        </is>
      </c>
      <c r="E16" s="16" t="n">
        <v>37</v>
      </c>
      <c r="F16" t="inlineStr">
        <is>
          <t>Leipzig</t>
        </is>
      </c>
      <c r="G16" t="inlineStr">
        <is>
          <t>Printer</t>
        </is>
      </c>
      <c r="H16" t="inlineStr">
        <is>
          <t>Electronics</t>
        </is>
      </c>
      <c r="I16" s="16" t="n">
        <v>4</v>
      </c>
      <c r="J16" s="17" t="n">
        <v>341.09</v>
      </c>
      <c r="K16" s="17" t="n">
        <v>0.2</v>
      </c>
      <c r="L16" s="17" t="n">
        <v>1091.49</v>
      </c>
      <c r="M16" t="inlineStr">
        <is>
          <t>Bank Transfer</t>
        </is>
      </c>
      <c r="N16" t="inlineStr">
        <is>
          <t>Completed</t>
        </is>
      </c>
      <c r="O16">
        <f>TEXT(B16,"mmm")</f>
        <v/>
      </c>
      <c r="P16">
        <f>YEAR(B16)</f>
        <v/>
      </c>
      <c r="Q16" s="17">
        <f>L16*(1-K16)</f>
        <v/>
      </c>
      <c r="R16" s="17">
        <f>IF(N16="Completed",L16,0)</f>
        <v/>
      </c>
      <c r="S16" s="17">
        <f>IF(N16="Cancelled",L16,0)</f>
        <v/>
      </c>
    </row>
    <row r="17">
      <c r="A17" t="n">
        <v>1016</v>
      </c>
      <c r="B17" s="15" t="n">
        <v>46109</v>
      </c>
      <c r="C17" t="inlineStr">
        <is>
          <t>Leo Thomas</t>
        </is>
      </c>
      <c r="D17" t="inlineStr">
        <is>
          <t>Male</t>
        </is>
      </c>
      <c r="E17" s="16" t="n">
        <v>55</v>
      </c>
      <c r="F17" t="inlineStr">
        <is>
          <t>Frankfurt</t>
        </is>
      </c>
      <c r="G17" t="inlineStr">
        <is>
          <t>Webcam</t>
        </is>
      </c>
      <c r="H17" t="inlineStr">
        <is>
          <t>Electronics</t>
        </is>
      </c>
      <c r="I17" s="16" t="n">
        <v>1</v>
      </c>
      <c r="J17" s="17" t="n">
        <v>69.75</v>
      </c>
      <c r="K17" s="17" t="n">
        <v>0</v>
      </c>
      <c r="L17" s="17" t="n">
        <v>69.75</v>
      </c>
      <c r="M17" t="inlineStr">
        <is>
          <t>Bank Transfer</t>
        </is>
      </c>
      <c r="N17" t="inlineStr">
        <is>
          <t>Completed</t>
        </is>
      </c>
      <c r="O17">
        <f>TEXT(B17,"mmm")</f>
        <v/>
      </c>
      <c r="P17">
        <f>YEAR(B17)</f>
        <v/>
      </c>
      <c r="Q17" s="17">
        <f>L17*(1-K17)</f>
        <v/>
      </c>
      <c r="R17" s="17">
        <f>IF(N17="Completed",L17,0)</f>
        <v/>
      </c>
      <c r="S17" s="17">
        <f>IF(N17="Cancelled",L17,0)</f>
        <v/>
      </c>
    </row>
    <row r="18">
      <c r="A18" t="n">
        <v>1017</v>
      </c>
      <c r="B18" s="15" t="n">
        <v>46107</v>
      </c>
      <c r="C18" t="inlineStr">
        <is>
          <t>Aarav Shah</t>
        </is>
      </c>
      <c r="D18" t="inlineStr">
        <is>
          <t>Male</t>
        </is>
      </c>
      <c r="E18" s="16" t="n">
        <v>50</v>
      </c>
      <c r="F18" t="inlineStr">
        <is>
          <t>Frankfurt</t>
        </is>
      </c>
      <c r="G18" t="inlineStr">
        <is>
          <t>Laptop</t>
        </is>
      </c>
      <c r="H18" t="inlineStr">
        <is>
          <t>Electronics</t>
        </is>
      </c>
      <c r="I18" s="16" t="n">
        <v>2</v>
      </c>
      <c r="J18" s="17" t="n">
        <v>700.55</v>
      </c>
      <c r="K18" s="17" t="n">
        <v>0</v>
      </c>
      <c r="L18" s="17" t="n">
        <v>1401.1</v>
      </c>
      <c r="M18" t="inlineStr">
        <is>
          <t>PayPal</t>
        </is>
      </c>
      <c r="N18" t="inlineStr">
        <is>
          <t>Pending</t>
        </is>
      </c>
      <c r="O18">
        <f>TEXT(B18,"mmm")</f>
        <v/>
      </c>
      <c r="P18">
        <f>YEAR(B18)</f>
        <v/>
      </c>
      <c r="Q18" s="17">
        <f>L18*(1-K18)</f>
        <v/>
      </c>
      <c r="R18" s="17">
        <f>IF(N18="Completed",L18,0)</f>
        <v/>
      </c>
      <c r="S18" s="17">
        <f>IF(N18="Cancelled",L18,0)</f>
        <v/>
      </c>
    </row>
    <row r="19">
      <c r="A19" t="n">
        <v>1018</v>
      </c>
      <c r="B19" s="15" t="n">
        <v>46144</v>
      </c>
      <c r="C19" t="inlineStr">
        <is>
          <t>Lucas Thomas</t>
        </is>
      </c>
      <c r="D19" t="inlineStr">
        <is>
          <t>Female</t>
        </is>
      </c>
      <c r="E19" s="16" t="n">
        <v>30</v>
      </c>
      <c r="F19" t="inlineStr">
        <is>
          <t>Hamburg</t>
        </is>
      </c>
      <c r="G19" t="inlineStr">
        <is>
          <t>Keyboard</t>
        </is>
      </c>
      <c r="H19" t="inlineStr">
        <is>
          <t>Accessories</t>
        </is>
      </c>
      <c r="I19" s="16" t="n">
        <v>5</v>
      </c>
      <c r="J19" s="17" t="n">
        <v>79.73999999999999</v>
      </c>
      <c r="K19" s="17" t="n">
        <v>0.05</v>
      </c>
      <c r="L19" s="17" t="n">
        <v>378.76</v>
      </c>
      <c r="M19" t="inlineStr">
        <is>
          <t>Card</t>
        </is>
      </c>
      <c r="N19" t="inlineStr">
        <is>
          <t>Pending</t>
        </is>
      </c>
      <c r="O19">
        <f>TEXT(B19,"mmm")</f>
        <v/>
      </c>
      <c r="P19">
        <f>YEAR(B19)</f>
        <v/>
      </c>
      <c r="Q19" s="17">
        <f>L19*(1-K19)</f>
        <v/>
      </c>
      <c r="R19" s="17">
        <f>IF(N19="Completed",L19,0)</f>
        <v/>
      </c>
      <c r="S19" s="17">
        <f>IF(N19="Cancelled",L19,0)</f>
        <v/>
      </c>
    </row>
    <row r="20">
      <c r="A20" t="n">
        <v>1019</v>
      </c>
      <c r="B20" s="15" t="n">
        <v>46195</v>
      </c>
      <c r="C20" t="inlineStr">
        <is>
          <t>Isla Taylor</t>
        </is>
      </c>
      <c r="D20" t="inlineStr">
        <is>
          <t>Male</t>
        </is>
      </c>
      <c r="E20" s="16" t="n">
        <v>21</v>
      </c>
      <c r="F20" t="inlineStr">
        <is>
          <t>Leipzig</t>
        </is>
      </c>
      <c r="G20" t="inlineStr">
        <is>
          <t>Desk</t>
        </is>
      </c>
      <c r="H20" t="inlineStr">
        <is>
          <t>Furniture</t>
        </is>
      </c>
      <c r="I20" s="16" t="n">
        <v>4</v>
      </c>
      <c r="J20" s="17" t="n">
        <v>499.62</v>
      </c>
      <c r="K20" s="17" t="n">
        <v>0</v>
      </c>
      <c r="L20" s="17" t="n">
        <v>1998.48</v>
      </c>
      <c r="M20" t="inlineStr">
        <is>
          <t>Bank Transfer</t>
        </is>
      </c>
      <c r="N20" t="inlineStr">
        <is>
          <t>Completed</t>
        </is>
      </c>
      <c r="O20">
        <f>TEXT(B20,"mmm")</f>
        <v/>
      </c>
      <c r="P20">
        <f>YEAR(B20)</f>
        <v/>
      </c>
      <c r="Q20" s="17">
        <f>L20*(1-K20)</f>
        <v/>
      </c>
      <c r="R20" s="17">
        <f>IF(N20="Completed",L20,0)</f>
        <v/>
      </c>
      <c r="S20" s="17">
        <f>IF(N20="Cancelled",L20,0)</f>
        <v/>
      </c>
    </row>
    <row r="21">
      <c r="A21" t="n">
        <v>1020</v>
      </c>
      <c r="B21" s="15" t="n">
        <v>46131</v>
      </c>
      <c r="C21" t="inlineStr">
        <is>
          <t>Sophia Brown</t>
        </is>
      </c>
      <c r="D21" t="inlineStr">
        <is>
          <t>Male</t>
        </is>
      </c>
      <c r="E21" s="16" t="n">
        <v>35</v>
      </c>
      <c r="F21" t="inlineStr">
        <is>
          <t>Stuttgart</t>
        </is>
      </c>
      <c r="G21" t="inlineStr">
        <is>
          <t>Mouse</t>
        </is>
      </c>
      <c r="H21" t="inlineStr">
        <is>
          <t>Accessories</t>
        </is>
      </c>
      <c r="I21" s="16" t="n">
        <v>2</v>
      </c>
      <c r="J21" s="17" t="n">
        <v>49.86</v>
      </c>
      <c r="K21" s="17" t="n">
        <v>0.05</v>
      </c>
      <c r="L21" s="17" t="n">
        <v>94.73</v>
      </c>
      <c r="M21" t="inlineStr">
        <is>
          <t>Card</t>
        </is>
      </c>
      <c r="N21" t="inlineStr">
        <is>
          <t>Completed</t>
        </is>
      </c>
      <c r="O21">
        <f>TEXT(B21,"mmm")</f>
        <v/>
      </c>
      <c r="P21">
        <f>YEAR(B21)</f>
        <v/>
      </c>
      <c r="Q21" s="17">
        <f>L21*(1-K21)</f>
        <v/>
      </c>
      <c r="R21" s="17">
        <f>IF(N21="Completed",L21,0)</f>
        <v/>
      </c>
      <c r="S21" s="17">
        <f>IF(N21="Cancelled",L21,0)</f>
        <v/>
      </c>
    </row>
    <row r="22">
      <c r="A22" t="n">
        <v>1021</v>
      </c>
      <c r="B22" s="15" t="n">
        <v>46026</v>
      </c>
      <c r="C22" t="inlineStr">
        <is>
          <t>Leo Thomas</t>
        </is>
      </c>
      <c r="D22" t="inlineStr">
        <is>
          <t>Male</t>
        </is>
      </c>
      <c r="E22" s="16" t="n">
        <v>33</v>
      </c>
      <c r="F22" t="inlineStr">
        <is>
          <t>Munich</t>
        </is>
      </c>
      <c r="G22" t="inlineStr">
        <is>
          <t>Monitor</t>
        </is>
      </c>
      <c r="H22" t="inlineStr">
        <is>
          <t>Electronics</t>
        </is>
      </c>
      <c r="I22" s="16" t="n">
        <v>1</v>
      </c>
      <c r="J22" s="17" t="n">
        <v>345.64</v>
      </c>
      <c r="K22" s="17" t="n">
        <v>0.2</v>
      </c>
      <c r="L22" s="17" t="n">
        <v>276.51</v>
      </c>
      <c r="M22" t="inlineStr">
        <is>
          <t>PayPal</t>
        </is>
      </c>
      <c r="N22" t="inlineStr">
        <is>
          <t>Pending</t>
        </is>
      </c>
      <c r="O22">
        <f>TEXT(B22,"mmm")</f>
        <v/>
      </c>
      <c r="P22">
        <f>YEAR(B22)</f>
        <v/>
      </c>
      <c r="Q22" s="17">
        <f>L22*(1-K22)</f>
        <v/>
      </c>
      <c r="R22" s="17">
        <f>IF(N22="Completed",L22,0)</f>
        <v/>
      </c>
      <c r="S22" s="17">
        <f>IF(N22="Cancelled",L22,0)</f>
        <v/>
      </c>
    </row>
    <row r="23">
      <c r="A23" t="n">
        <v>1022</v>
      </c>
      <c r="B23" s="15" t="n">
        <v>46122</v>
      </c>
      <c r="C23" t="inlineStr">
        <is>
          <t>Ella Brown</t>
        </is>
      </c>
      <c r="D23" t="inlineStr">
        <is>
          <t>Female</t>
        </is>
      </c>
      <c r="E23" s="16" t="n">
        <v>47</v>
      </c>
      <c r="F23" t="inlineStr">
        <is>
          <t>Cologne</t>
        </is>
      </c>
      <c r="G23" t="inlineStr">
        <is>
          <t>Desk</t>
        </is>
      </c>
      <c r="H23" t="inlineStr">
        <is>
          <t>Furniture</t>
        </is>
      </c>
      <c r="I23" s="16" t="n">
        <v>1</v>
      </c>
      <c r="J23" s="17" t="n">
        <v>240.92</v>
      </c>
      <c r="K23" s="17" t="n">
        <v>0</v>
      </c>
      <c r="L23" s="17" t="n">
        <v>240.92</v>
      </c>
      <c r="M23" t="inlineStr">
        <is>
          <t>PayPal</t>
        </is>
      </c>
      <c r="N23" t="inlineStr">
        <is>
          <t>Cancelled</t>
        </is>
      </c>
      <c r="O23">
        <f>TEXT(B23,"mmm")</f>
        <v/>
      </c>
      <c r="P23">
        <f>YEAR(B23)</f>
        <v/>
      </c>
      <c r="Q23" s="17">
        <f>L23*(1-K23)</f>
        <v/>
      </c>
      <c r="R23" s="17">
        <f>IF(N23="Completed",L23,0)</f>
        <v/>
      </c>
      <c r="S23" s="17">
        <f>IF(N23="Cancelled",L23,0)</f>
        <v/>
      </c>
    </row>
    <row r="24">
      <c r="A24" t="n">
        <v>1023</v>
      </c>
      <c r="B24" s="15" t="n">
        <v>46171</v>
      </c>
      <c r="C24" t="inlineStr">
        <is>
          <t>Ella Smith</t>
        </is>
      </c>
      <c r="D24" t="inlineStr">
        <is>
          <t>Male</t>
        </is>
      </c>
      <c r="E24" s="16" t="n">
        <v>38</v>
      </c>
      <c r="F24" t="inlineStr">
        <is>
          <t>Berlin</t>
        </is>
      </c>
      <c r="G24" t="inlineStr">
        <is>
          <t>Mouse</t>
        </is>
      </c>
      <c r="H24" t="inlineStr">
        <is>
          <t>Accessories</t>
        </is>
      </c>
      <c r="I24" s="16" t="n">
        <v>3</v>
      </c>
      <c r="J24" s="17" t="n">
        <v>29.15</v>
      </c>
      <c r="K24" s="17" t="n">
        <v>0</v>
      </c>
      <c r="L24" s="17" t="n">
        <v>87.45</v>
      </c>
      <c r="M24" t="inlineStr">
        <is>
          <t>Card</t>
        </is>
      </c>
      <c r="N24" t="inlineStr">
        <is>
          <t>Cancelled</t>
        </is>
      </c>
      <c r="O24">
        <f>TEXT(B24,"mmm")</f>
        <v/>
      </c>
      <c r="P24">
        <f>YEAR(B24)</f>
        <v/>
      </c>
      <c r="Q24" s="17">
        <f>L24*(1-K24)</f>
        <v/>
      </c>
      <c r="R24" s="17">
        <f>IF(N24="Completed",L24,0)</f>
        <v/>
      </c>
      <c r="S24" s="17">
        <f>IF(N24="Cancelled",L24,0)</f>
        <v/>
      </c>
    </row>
    <row r="25">
      <c r="A25" t="n">
        <v>1024</v>
      </c>
      <c r="B25" s="15" t="n">
        <v>46043</v>
      </c>
      <c r="C25" t="inlineStr">
        <is>
          <t>Ella Thomas</t>
        </is>
      </c>
      <c r="D25" t="inlineStr">
        <is>
          <t>Male</t>
        </is>
      </c>
      <c r="E25" s="16" t="n">
        <v>22</v>
      </c>
      <c r="F25" t="inlineStr">
        <is>
          <t>Hamburg</t>
        </is>
      </c>
      <c r="G25" t="inlineStr">
        <is>
          <t>USB Hub</t>
        </is>
      </c>
      <c r="H25" t="inlineStr">
        <is>
          <t>Accessories</t>
        </is>
      </c>
      <c r="I25" s="16" t="n">
        <v>2</v>
      </c>
      <c r="J25" s="17" t="n">
        <v>22.84</v>
      </c>
      <c r="K25" s="17" t="n">
        <v>0.2</v>
      </c>
      <c r="L25" s="17" t="n">
        <v>36.54</v>
      </c>
      <c r="M25" t="inlineStr">
        <is>
          <t>Bank Transfer</t>
        </is>
      </c>
      <c r="N25" t="inlineStr">
        <is>
          <t>Completed</t>
        </is>
      </c>
      <c r="O25">
        <f>TEXT(B25,"mmm")</f>
        <v/>
      </c>
      <c r="P25">
        <f>YEAR(B25)</f>
        <v/>
      </c>
      <c r="Q25" s="17">
        <f>L25*(1-K25)</f>
        <v/>
      </c>
      <c r="R25" s="17">
        <f>IF(N25="Completed",L25,0)</f>
        <v/>
      </c>
      <c r="S25" s="17">
        <f>IF(N25="Cancelled",L25,0)</f>
        <v/>
      </c>
    </row>
    <row r="26">
      <c r="A26" t="n">
        <v>1025</v>
      </c>
      <c r="B26" s="15" t="n">
        <v>46181</v>
      </c>
      <c r="C26" t="inlineStr">
        <is>
          <t>Daniel Shah</t>
        </is>
      </c>
      <c r="D26" t="inlineStr">
        <is>
          <t>Male</t>
        </is>
      </c>
      <c r="E26" s="16" t="n">
        <v>44</v>
      </c>
      <c r="F26" t="inlineStr">
        <is>
          <t>Düsseldorf</t>
        </is>
      </c>
      <c r="G26" t="inlineStr">
        <is>
          <t>Printer</t>
        </is>
      </c>
      <c r="H26" t="inlineStr">
        <is>
          <t>Electronics</t>
        </is>
      </c>
      <c r="I26" s="16" t="n">
        <v>2</v>
      </c>
      <c r="J26" s="17" t="n">
        <v>244.73</v>
      </c>
      <c r="K26" s="17" t="n">
        <v>0</v>
      </c>
      <c r="L26" s="17" t="n">
        <v>489.46</v>
      </c>
      <c r="M26" t="inlineStr">
        <is>
          <t>PayPal</t>
        </is>
      </c>
      <c r="N26" t="inlineStr">
        <is>
          <t>Completed</t>
        </is>
      </c>
      <c r="O26">
        <f>TEXT(B26,"mmm")</f>
        <v/>
      </c>
      <c r="P26">
        <f>YEAR(B26)</f>
        <v/>
      </c>
      <c r="Q26" s="17">
        <f>L26*(1-K26)</f>
        <v/>
      </c>
      <c r="R26" s="17">
        <f>IF(N26="Completed",L26,0)</f>
        <v/>
      </c>
      <c r="S26" s="17">
        <f>IF(N26="Cancelled",L26,0)</f>
        <v/>
      </c>
    </row>
    <row r="27">
      <c r="A27" t="n">
        <v>1026</v>
      </c>
      <c r="B27" s="15" t="n">
        <v>46140</v>
      </c>
      <c r="C27" t="inlineStr">
        <is>
          <t>Arjun Brown</t>
        </is>
      </c>
      <c r="D27" t="inlineStr">
        <is>
          <t>Female</t>
        </is>
      </c>
      <c r="E27" s="16" t="n">
        <v>22</v>
      </c>
      <c r="F27" t="inlineStr">
        <is>
          <t>Berlin</t>
        </is>
      </c>
      <c r="G27" t="inlineStr">
        <is>
          <t>Headphones</t>
        </is>
      </c>
      <c r="H27" t="inlineStr">
        <is>
          <t>Accessories</t>
        </is>
      </c>
      <c r="I27" s="16" t="n">
        <v>4</v>
      </c>
      <c r="J27" s="17" t="n">
        <v>49.63</v>
      </c>
      <c r="K27" s="17" t="n">
        <v>0.1</v>
      </c>
      <c r="L27" s="17" t="n">
        <v>178.67</v>
      </c>
      <c r="M27" t="inlineStr">
        <is>
          <t>PayPal</t>
        </is>
      </c>
      <c r="N27" t="inlineStr">
        <is>
          <t>Cancelled</t>
        </is>
      </c>
      <c r="O27">
        <f>TEXT(B27,"mmm")</f>
        <v/>
      </c>
      <c r="P27">
        <f>YEAR(B27)</f>
        <v/>
      </c>
      <c r="Q27" s="17">
        <f>L27*(1-K27)</f>
        <v/>
      </c>
      <c r="R27" s="17">
        <f>IF(N27="Completed",L27,0)</f>
        <v/>
      </c>
      <c r="S27" s="17">
        <f>IF(N27="Cancelled",L27,0)</f>
        <v/>
      </c>
    </row>
    <row r="28">
      <c r="A28" t="n">
        <v>1027</v>
      </c>
      <c r="B28" s="15" t="n">
        <v>46056</v>
      </c>
      <c r="C28" t="inlineStr">
        <is>
          <t>Oliver Shah</t>
        </is>
      </c>
      <c r="D28" t="inlineStr">
        <is>
          <t>Female</t>
        </is>
      </c>
      <c r="E28" s="16" t="n">
        <v>22</v>
      </c>
      <c r="F28" t="inlineStr">
        <is>
          <t>Frankfurt</t>
        </is>
      </c>
      <c r="G28" t="inlineStr">
        <is>
          <t>Monitor</t>
        </is>
      </c>
      <c r="H28" t="inlineStr">
        <is>
          <t>Electronics</t>
        </is>
      </c>
      <c r="I28" s="16" t="n">
        <v>5</v>
      </c>
      <c r="J28" s="17" t="n">
        <v>213.95</v>
      </c>
      <c r="K28" s="17" t="n">
        <v>0.1</v>
      </c>
      <c r="L28" s="17" t="n">
        <v>962.77</v>
      </c>
      <c r="M28" t="inlineStr">
        <is>
          <t>PayPal</t>
        </is>
      </c>
      <c r="N28" t="inlineStr">
        <is>
          <t>Completed</t>
        </is>
      </c>
      <c r="O28">
        <f>TEXT(B28,"mmm")</f>
        <v/>
      </c>
      <c r="P28">
        <f>YEAR(B28)</f>
        <v/>
      </c>
      <c r="Q28" s="17">
        <f>L28*(1-K28)</f>
        <v/>
      </c>
      <c r="R28" s="17">
        <f>IF(N28="Completed",L28,0)</f>
        <v/>
      </c>
      <c r="S28" s="17">
        <f>IF(N28="Cancelled",L28,0)</f>
        <v/>
      </c>
    </row>
    <row r="29">
      <c r="A29" t="n">
        <v>1028</v>
      </c>
      <c r="B29" s="15" t="n">
        <v>46025</v>
      </c>
      <c r="C29" t="inlineStr">
        <is>
          <t>Olivia Anderson</t>
        </is>
      </c>
      <c r="D29" t="inlineStr">
        <is>
          <t>Female</t>
        </is>
      </c>
      <c r="E29" s="16" t="n">
        <v>24</v>
      </c>
      <c r="F29" t="inlineStr">
        <is>
          <t>Munich</t>
        </is>
      </c>
      <c r="G29" t="inlineStr">
        <is>
          <t>USB Hub</t>
        </is>
      </c>
      <c r="H29" t="inlineStr">
        <is>
          <t>Accessories</t>
        </is>
      </c>
      <c r="I29" s="16" t="n">
        <v>3</v>
      </c>
      <c r="J29" s="17" t="n">
        <v>50.58</v>
      </c>
      <c r="K29" s="17" t="n">
        <v>0.2</v>
      </c>
      <c r="L29" s="17" t="n">
        <v>121.39</v>
      </c>
      <c r="M29" t="inlineStr">
        <is>
          <t>PayPal</t>
        </is>
      </c>
      <c r="N29" t="inlineStr">
        <is>
          <t>Completed</t>
        </is>
      </c>
      <c r="O29">
        <f>TEXT(B29,"mmm")</f>
        <v/>
      </c>
      <c r="P29">
        <f>YEAR(B29)</f>
        <v/>
      </c>
      <c r="Q29" s="17">
        <f>L29*(1-K29)</f>
        <v/>
      </c>
      <c r="R29" s="17">
        <f>IF(N29="Completed",L29,0)</f>
        <v/>
      </c>
      <c r="S29" s="17">
        <f>IF(N29="Cancelled",L29,0)</f>
        <v/>
      </c>
    </row>
    <row r="30">
      <c r="A30" t="n">
        <v>1029</v>
      </c>
      <c r="B30" s="15" t="n">
        <v>46110</v>
      </c>
      <c r="C30" t="inlineStr">
        <is>
          <t>Sophia Thomas</t>
        </is>
      </c>
      <c r="D30" t="inlineStr">
        <is>
          <t>Male</t>
        </is>
      </c>
      <c r="E30" s="16" t="n">
        <v>34</v>
      </c>
      <c r="F30" t="inlineStr">
        <is>
          <t>Stuttgart</t>
        </is>
      </c>
      <c r="G30" t="inlineStr">
        <is>
          <t>Keyboard</t>
        </is>
      </c>
      <c r="H30" t="inlineStr">
        <is>
          <t>Accessories</t>
        </is>
      </c>
      <c r="I30" s="16" t="n">
        <v>3</v>
      </c>
      <c r="J30" s="17" t="n">
        <v>51.77</v>
      </c>
      <c r="K30" s="17" t="n">
        <v>0.05</v>
      </c>
      <c r="L30" s="17" t="n">
        <v>147.54</v>
      </c>
      <c r="M30" t="inlineStr">
        <is>
          <t>PayPal</t>
        </is>
      </c>
      <c r="N30" t="inlineStr">
        <is>
          <t>Completed</t>
        </is>
      </c>
      <c r="O30">
        <f>TEXT(B30,"mmm")</f>
        <v/>
      </c>
      <c r="P30">
        <f>YEAR(B30)</f>
        <v/>
      </c>
      <c r="Q30" s="17">
        <f>L30*(1-K30)</f>
        <v/>
      </c>
      <c r="R30" s="17">
        <f>IF(N30="Completed",L30,0)</f>
        <v/>
      </c>
      <c r="S30" s="17">
        <f>IF(N30="Cancelled",L30,0)</f>
        <v/>
      </c>
    </row>
    <row r="31">
      <c r="A31" t="n">
        <v>1030</v>
      </c>
      <c r="B31" s="15" t="n">
        <v>46186</v>
      </c>
      <c r="C31" t="inlineStr">
        <is>
          <t>Liam Taylor</t>
        </is>
      </c>
      <c r="D31" t="inlineStr">
        <is>
          <t>Female</t>
        </is>
      </c>
      <c r="E31" s="16" t="n">
        <v>28</v>
      </c>
      <c r="F31" t="inlineStr">
        <is>
          <t>Stuttgart</t>
        </is>
      </c>
      <c r="G31" t="inlineStr">
        <is>
          <t>Headphones</t>
        </is>
      </c>
      <c r="H31" t="inlineStr">
        <is>
          <t>Accessories</t>
        </is>
      </c>
      <c r="I31" s="16" t="n">
        <v>1</v>
      </c>
      <c r="J31" s="17" t="n">
        <v>30.53</v>
      </c>
      <c r="K31" s="17" t="n">
        <v>0.05</v>
      </c>
      <c r="L31" s="17" t="n">
        <v>29</v>
      </c>
      <c r="M31" t="inlineStr">
        <is>
          <t>Bank Transfer</t>
        </is>
      </c>
      <c r="N31" t="inlineStr">
        <is>
          <t>Pending</t>
        </is>
      </c>
      <c r="O31">
        <f>TEXT(B31,"mmm")</f>
        <v/>
      </c>
      <c r="P31">
        <f>YEAR(B31)</f>
        <v/>
      </c>
      <c r="Q31" s="17">
        <f>L31*(1-K31)</f>
        <v/>
      </c>
      <c r="R31" s="17">
        <f>IF(N31="Completed",L31,0)</f>
        <v/>
      </c>
      <c r="S31" s="17">
        <f>IF(N31="Cancelled",L31,0)</f>
        <v/>
      </c>
    </row>
    <row r="32">
      <c r="A32" t="n">
        <v>1031</v>
      </c>
      <c r="B32" s="15" t="n">
        <v>46162</v>
      </c>
      <c r="C32" t="inlineStr">
        <is>
          <t>Grace Patel</t>
        </is>
      </c>
      <c r="D32" t="inlineStr">
        <is>
          <t>Male</t>
        </is>
      </c>
      <c r="E32" s="16" t="n">
        <v>41</v>
      </c>
      <c r="F32" t="inlineStr">
        <is>
          <t>Munich</t>
        </is>
      </c>
      <c r="G32" t="inlineStr">
        <is>
          <t>Monitor</t>
        </is>
      </c>
      <c r="H32" t="inlineStr">
        <is>
          <t>Electronics</t>
        </is>
      </c>
      <c r="I32" s="16" t="n">
        <v>1</v>
      </c>
      <c r="J32" s="17" t="n">
        <v>433.52</v>
      </c>
      <c r="K32" s="17" t="n">
        <v>0.05</v>
      </c>
      <c r="L32" s="17" t="n">
        <v>411.84</v>
      </c>
      <c r="M32" t="inlineStr">
        <is>
          <t>PayPal</t>
        </is>
      </c>
      <c r="N32" t="inlineStr">
        <is>
          <t>Completed</t>
        </is>
      </c>
      <c r="O32">
        <f>TEXT(B32,"mmm")</f>
        <v/>
      </c>
      <c r="P32">
        <f>YEAR(B32)</f>
        <v/>
      </c>
      <c r="Q32" s="17">
        <f>L32*(1-K32)</f>
        <v/>
      </c>
      <c r="R32" s="17">
        <f>IF(N32="Completed",L32,0)</f>
        <v/>
      </c>
      <c r="S32" s="17">
        <f>IF(N32="Cancelled",L32,0)</f>
        <v/>
      </c>
    </row>
    <row r="33">
      <c r="A33" t="n">
        <v>1032</v>
      </c>
      <c r="B33" s="15" t="n">
        <v>46197</v>
      </c>
      <c r="C33" t="inlineStr">
        <is>
          <t>Emma Miller</t>
        </is>
      </c>
      <c r="D33" t="inlineStr">
        <is>
          <t>Male</t>
        </is>
      </c>
      <c r="E33" s="16" t="n">
        <v>24</v>
      </c>
      <c r="F33" t="inlineStr">
        <is>
          <t>Düsseldorf</t>
        </is>
      </c>
      <c r="G33" t="inlineStr">
        <is>
          <t>Office Chair</t>
        </is>
      </c>
      <c r="H33" t="inlineStr">
        <is>
          <t>Furniture</t>
        </is>
      </c>
      <c r="I33" s="16" t="n">
        <v>1</v>
      </c>
      <c r="J33" s="17" t="n">
        <v>371.7</v>
      </c>
      <c r="K33" s="17" t="n">
        <v>0.05</v>
      </c>
      <c r="L33" s="17" t="n">
        <v>353.11</v>
      </c>
      <c r="M33" t="inlineStr">
        <is>
          <t>Bank Transfer</t>
        </is>
      </c>
      <c r="N33" t="inlineStr">
        <is>
          <t>Pending</t>
        </is>
      </c>
      <c r="O33">
        <f>TEXT(B33,"mmm")</f>
        <v/>
      </c>
      <c r="P33">
        <f>YEAR(B33)</f>
        <v/>
      </c>
      <c r="Q33" s="17">
        <f>L33*(1-K33)</f>
        <v/>
      </c>
      <c r="R33" s="17">
        <f>IF(N33="Completed",L33,0)</f>
        <v/>
      </c>
      <c r="S33" s="17">
        <f>IF(N33="Cancelled",L33,0)</f>
        <v/>
      </c>
    </row>
    <row r="34">
      <c r="A34" t="n">
        <v>1033</v>
      </c>
      <c r="B34" s="15" t="n">
        <v>46128</v>
      </c>
      <c r="C34" t="inlineStr">
        <is>
          <t>Nora Smith</t>
        </is>
      </c>
      <c r="D34" t="inlineStr">
        <is>
          <t>Male</t>
        </is>
      </c>
      <c r="E34" s="16" t="n">
        <v>29</v>
      </c>
      <c r="F34" t="inlineStr">
        <is>
          <t>Düsseldorf</t>
        </is>
      </c>
      <c r="G34" t="inlineStr">
        <is>
          <t>Mouse</t>
        </is>
      </c>
      <c r="H34" t="inlineStr">
        <is>
          <t>Accessories</t>
        </is>
      </c>
      <c r="I34" s="16" t="n">
        <v>2</v>
      </c>
      <c r="J34" s="17" t="n">
        <v>78.45</v>
      </c>
      <c r="K34" s="17" t="n">
        <v>0.05</v>
      </c>
      <c r="L34" s="17" t="n">
        <v>149.06</v>
      </c>
      <c r="M34" t="inlineStr">
        <is>
          <t>PayPal</t>
        </is>
      </c>
      <c r="N34" t="inlineStr">
        <is>
          <t>Completed</t>
        </is>
      </c>
      <c r="O34">
        <f>TEXT(B34,"mmm")</f>
        <v/>
      </c>
      <c r="P34">
        <f>YEAR(B34)</f>
        <v/>
      </c>
      <c r="Q34" s="17">
        <f>L34*(1-K34)</f>
        <v/>
      </c>
      <c r="R34" s="17">
        <f>IF(N34="Completed",L34,0)</f>
        <v/>
      </c>
      <c r="S34" s="17">
        <f>IF(N34="Cancelled",L34,0)</f>
        <v/>
      </c>
    </row>
    <row r="35">
      <c r="A35" t="n">
        <v>1034</v>
      </c>
      <c r="B35" s="15" t="n">
        <v>46079</v>
      </c>
      <c r="C35" t="inlineStr">
        <is>
          <t>Ethan Smith</t>
        </is>
      </c>
      <c r="D35" t="inlineStr">
        <is>
          <t>Male</t>
        </is>
      </c>
      <c r="E35" s="16" t="n">
        <v>47</v>
      </c>
      <c r="F35" t="inlineStr">
        <is>
          <t>Düsseldorf</t>
        </is>
      </c>
      <c r="G35" t="inlineStr">
        <is>
          <t>Monitor</t>
        </is>
      </c>
      <c r="H35" t="inlineStr">
        <is>
          <t>Electronics</t>
        </is>
      </c>
      <c r="I35" s="16" t="n">
        <v>4</v>
      </c>
      <c r="J35" s="17" t="n">
        <v>411.65</v>
      </c>
      <c r="K35" s="17" t="n">
        <v>0.15</v>
      </c>
      <c r="L35" s="17" t="n">
        <v>1399.61</v>
      </c>
      <c r="M35" t="inlineStr">
        <is>
          <t>PayPal</t>
        </is>
      </c>
      <c r="N35" t="inlineStr">
        <is>
          <t>Completed</t>
        </is>
      </c>
      <c r="O35">
        <f>TEXT(B35,"mmm")</f>
        <v/>
      </c>
      <c r="P35">
        <f>YEAR(B35)</f>
        <v/>
      </c>
      <c r="Q35" s="17">
        <f>L35*(1-K35)</f>
        <v/>
      </c>
      <c r="R35" s="17">
        <f>IF(N35="Completed",L35,0)</f>
        <v/>
      </c>
      <c r="S35" s="17">
        <f>IF(N35="Cancelled",L35,0)</f>
        <v/>
      </c>
    </row>
    <row r="36">
      <c r="A36" t="n">
        <v>1035</v>
      </c>
      <c r="B36" s="15" t="n">
        <v>46094</v>
      </c>
      <c r="C36" t="inlineStr">
        <is>
          <t>Mia Patel</t>
        </is>
      </c>
      <c r="D36" t="inlineStr">
        <is>
          <t>Female</t>
        </is>
      </c>
      <c r="E36" s="16" t="n">
        <v>50</v>
      </c>
      <c r="F36" t="inlineStr">
        <is>
          <t>Leipzig</t>
        </is>
      </c>
      <c r="G36" t="inlineStr">
        <is>
          <t>Mouse</t>
        </is>
      </c>
      <c r="H36" t="inlineStr">
        <is>
          <t>Accessories</t>
        </is>
      </c>
      <c r="I36" s="16" t="n">
        <v>4</v>
      </c>
      <c r="J36" s="17" t="n">
        <v>36.34</v>
      </c>
      <c r="K36" s="17" t="n">
        <v>0</v>
      </c>
      <c r="L36" s="17" t="n">
        <v>145.36</v>
      </c>
      <c r="M36" t="inlineStr">
        <is>
          <t>Bank Transfer</t>
        </is>
      </c>
      <c r="N36" t="inlineStr">
        <is>
          <t>Cancelled</t>
        </is>
      </c>
      <c r="O36">
        <f>TEXT(B36,"mmm")</f>
        <v/>
      </c>
      <c r="P36">
        <f>YEAR(B36)</f>
        <v/>
      </c>
      <c r="Q36" s="17">
        <f>L36*(1-K36)</f>
        <v/>
      </c>
      <c r="R36" s="17">
        <f>IF(N36="Completed",L36,0)</f>
        <v/>
      </c>
      <c r="S36" s="17">
        <f>IF(N36="Cancelled",L36,0)</f>
        <v/>
      </c>
    </row>
    <row r="37">
      <c r="A37" t="n">
        <v>1036</v>
      </c>
      <c r="B37" s="15" t="n">
        <v>46032</v>
      </c>
      <c r="C37" t="inlineStr">
        <is>
          <t>Arjun Patel</t>
        </is>
      </c>
      <c r="D37" t="inlineStr">
        <is>
          <t>Male</t>
        </is>
      </c>
      <c r="E37" s="16" t="n">
        <v>45</v>
      </c>
      <c r="F37" t="inlineStr">
        <is>
          <t>Düsseldorf</t>
        </is>
      </c>
      <c r="G37" t="inlineStr">
        <is>
          <t>Monitor</t>
        </is>
      </c>
      <c r="H37" t="inlineStr">
        <is>
          <t>Electronics</t>
        </is>
      </c>
      <c r="I37" s="16" t="n">
        <v>3</v>
      </c>
      <c r="J37" s="17" t="n">
        <v>203.57</v>
      </c>
      <c r="K37" s="17" t="n">
        <v>0.1</v>
      </c>
      <c r="L37" s="17" t="n">
        <v>549.64</v>
      </c>
      <c r="M37" t="inlineStr">
        <is>
          <t>Bank Transfer</t>
        </is>
      </c>
      <c r="N37" t="inlineStr">
        <is>
          <t>Completed</t>
        </is>
      </c>
      <c r="O37">
        <f>TEXT(B37,"mmm")</f>
        <v/>
      </c>
      <c r="P37">
        <f>YEAR(B37)</f>
        <v/>
      </c>
      <c r="Q37" s="17">
        <f>L37*(1-K37)</f>
        <v/>
      </c>
      <c r="R37" s="17">
        <f>IF(N37="Completed",L37,0)</f>
        <v/>
      </c>
      <c r="S37" s="17">
        <f>IF(N37="Cancelled",L37,0)</f>
        <v/>
      </c>
    </row>
    <row r="38">
      <c r="A38" t="n">
        <v>1037</v>
      </c>
      <c r="B38" s="15" t="n">
        <v>46071</v>
      </c>
      <c r="C38" t="inlineStr">
        <is>
          <t>Ava Martin</t>
        </is>
      </c>
      <c r="D38" t="inlineStr">
        <is>
          <t>Female</t>
        </is>
      </c>
      <c r="E38" s="16" t="n">
        <v>20</v>
      </c>
      <c r="F38" t="inlineStr">
        <is>
          <t>Leipzig</t>
        </is>
      </c>
      <c r="G38" t="inlineStr">
        <is>
          <t>USB Hub</t>
        </is>
      </c>
      <c r="H38" t="inlineStr">
        <is>
          <t>Accessories</t>
        </is>
      </c>
      <c r="I38" s="16" t="n">
        <v>1</v>
      </c>
      <c r="J38" s="17" t="n">
        <v>39.26</v>
      </c>
      <c r="K38" s="17" t="n">
        <v>0.2</v>
      </c>
      <c r="L38" s="17" t="n">
        <v>31.41</v>
      </c>
      <c r="M38" t="inlineStr">
        <is>
          <t>Card</t>
        </is>
      </c>
      <c r="N38" t="inlineStr">
        <is>
          <t>Cancelled</t>
        </is>
      </c>
      <c r="O38">
        <f>TEXT(B38,"mmm")</f>
        <v/>
      </c>
      <c r="P38">
        <f>YEAR(B38)</f>
        <v/>
      </c>
      <c r="Q38" s="17">
        <f>L38*(1-K38)</f>
        <v/>
      </c>
      <c r="R38" s="17">
        <f>IF(N38="Completed",L38,0)</f>
        <v/>
      </c>
      <c r="S38" s="17">
        <f>IF(N38="Cancelled",L38,0)</f>
        <v/>
      </c>
    </row>
    <row r="39">
      <c r="A39" t="n">
        <v>1038</v>
      </c>
      <c r="B39" s="15" t="n">
        <v>46182</v>
      </c>
      <c r="C39" t="inlineStr">
        <is>
          <t>Grace Brown</t>
        </is>
      </c>
      <c r="D39" t="inlineStr">
        <is>
          <t>Female</t>
        </is>
      </c>
      <c r="E39" s="16" t="n">
        <v>25</v>
      </c>
      <c r="F39" t="inlineStr">
        <is>
          <t>Cologne</t>
        </is>
      </c>
      <c r="G39" t="inlineStr">
        <is>
          <t>Office Chair</t>
        </is>
      </c>
      <c r="H39" t="inlineStr">
        <is>
          <t>Furniture</t>
        </is>
      </c>
      <c r="I39" s="16" t="n">
        <v>4</v>
      </c>
      <c r="J39" s="17" t="n">
        <v>139.59</v>
      </c>
      <c r="K39" s="17" t="n">
        <v>0.1</v>
      </c>
      <c r="L39" s="17" t="n">
        <v>502.52</v>
      </c>
      <c r="M39" t="inlineStr">
        <is>
          <t>Bank Transfer</t>
        </is>
      </c>
      <c r="N39" t="inlineStr">
        <is>
          <t>Completed</t>
        </is>
      </c>
      <c r="O39">
        <f>TEXT(B39,"mmm")</f>
        <v/>
      </c>
      <c r="P39">
        <f>YEAR(B39)</f>
        <v/>
      </c>
      <c r="Q39" s="17">
        <f>L39*(1-K39)</f>
        <v/>
      </c>
      <c r="R39" s="17">
        <f>IF(N39="Completed",L39,0)</f>
        <v/>
      </c>
      <c r="S39" s="17">
        <f>IF(N39="Cancelled",L39,0)</f>
        <v/>
      </c>
    </row>
    <row r="40">
      <c r="A40" t="n">
        <v>1039</v>
      </c>
      <c r="B40" s="15" t="n">
        <v>46130</v>
      </c>
      <c r="C40" t="inlineStr">
        <is>
          <t>Ava Wilson</t>
        </is>
      </c>
      <c r="D40" t="inlineStr">
        <is>
          <t>Female</t>
        </is>
      </c>
      <c r="E40" s="16" t="n">
        <v>29</v>
      </c>
      <c r="F40" t="inlineStr">
        <is>
          <t>Cologne</t>
        </is>
      </c>
      <c r="G40" t="inlineStr">
        <is>
          <t>Desk</t>
        </is>
      </c>
      <c r="H40" t="inlineStr">
        <is>
          <t>Furniture</t>
        </is>
      </c>
      <c r="I40" s="16" t="n">
        <v>3</v>
      </c>
      <c r="J40" s="17" t="n">
        <v>385.13</v>
      </c>
      <c r="K40" s="17" t="n">
        <v>0.05</v>
      </c>
      <c r="L40" s="17" t="n">
        <v>1097.62</v>
      </c>
      <c r="M40" t="inlineStr">
        <is>
          <t>PayPal</t>
        </is>
      </c>
      <c r="N40" t="inlineStr">
        <is>
          <t>Cancelled</t>
        </is>
      </c>
      <c r="O40">
        <f>TEXT(B40,"mmm")</f>
        <v/>
      </c>
      <c r="P40">
        <f>YEAR(B40)</f>
        <v/>
      </c>
      <c r="Q40" s="17">
        <f>L40*(1-K40)</f>
        <v/>
      </c>
      <c r="R40" s="17">
        <f>IF(N40="Completed",L40,0)</f>
        <v/>
      </c>
      <c r="S40" s="17">
        <f>IF(N40="Cancelled",L40,0)</f>
        <v/>
      </c>
    </row>
    <row r="41">
      <c r="A41" t="n">
        <v>1040</v>
      </c>
      <c r="B41" s="15" t="n">
        <v>46178</v>
      </c>
      <c r="C41" t="inlineStr">
        <is>
          <t>Aarav Miller</t>
        </is>
      </c>
      <c r="D41" t="inlineStr">
        <is>
          <t>Female</t>
        </is>
      </c>
      <c r="E41" s="16" t="n">
        <v>47</v>
      </c>
      <c r="F41" t="inlineStr">
        <is>
          <t>Stuttgart</t>
        </is>
      </c>
      <c r="G41" t="inlineStr">
        <is>
          <t>Headphones</t>
        </is>
      </c>
      <c r="H41" t="inlineStr">
        <is>
          <t>Accessories</t>
        </is>
      </c>
      <c r="I41" s="16" t="n">
        <v>2</v>
      </c>
      <c r="J41" s="17" t="n">
        <v>94.48</v>
      </c>
      <c r="K41" s="17" t="n">
        <v>0.2</v>
      </c>
      <c r="L41" s="17" t="n">
        <v>151.17</v>
      </c>
      <c r="M41" t="inlineStr">
        <is>
          <t>PayPal</t>
        </is>
      </c>
      <c r="N41" t="inlineStr">
        <is>
          <t>Completed</t>
        </is>
      </c>
      <c r="O41">
        <f>TEXT(B41,"mmm")</f>
        <v/>
      </c>
      <c r="P41">
        <f>YEAR(B41)</f>
        <v/>
      </c>
      <c r="Q41" s="17">
        <f>L41*(1-K41)</f>
        <v/>
      </c>
      <c r="R41" s="17">
        <f>IF(N41="Completed",L41,0)</f>
        <v/>
      </c>
      <c r="S41" s="17">
        <f>IF(N41="Cancelled",L41,0)</f>
        <v/>
      </c>
    </row>
    <row r="42">
      <c r="A42" t="n">
        <v>1041</v>
      </c>
      <c r="B42" s="15" t="n">
        <v>46108</v>
      </c>
      <c r="C42" t="inlineStr">
        <is>
          <t>Rohan Anderson</t>
        </is>
      </c>
      <c r="D42" t="inlineStr">
        <is>
          <t>Male</t>
        </is>
      </c>
      <c r="E42" s="16" t="n">
        <v>33</v>
      </c>
      <c r="F42" t="inlineStr">
        <is>
          <t>Cologne</t>
        </is>
      </c>
      <c r="G42" t="inlineStr">
        <is>
          <t>Keyboard</t>
        </is>
      </c>
      <c r="H42" t="inlineStr">
        <is>
          <t>Accessories</t>
        </is>
      </c>
      <c r="I42" s="16" t="n">
        <v>1</v>
      </c>
      <c r="J42" s="17" t="n">
        <v>51.96</v>
      </c>
      <c r="K42" s="17" t="n">
        <v>0.2</v>
      </c>
      <c r="L42" s="17" t="n">
        <v>41.57</v>
      </c>
      <c r="M42" t="inlineStr">
        <is>
          <t>Card</t>
        </is>
      </c>
      <c r="N42" t="inlineStr">
        <is>
          <t>Completed</t>
        </is>
      </c>
      <c r="O42">
        <f>TEXT(B42,"mmm")</f>
        <v/>
      </c>
      <c r="P42">
        <f>YEAR(B42)</f>
        <v/>
      </c>
      <c r="Q42" s="17">
        <f>L42*(1-K42)</f>
        <v/>
      </c>
      <c r="R42" s="17">
        <f>IF(N42="Completed",L42,0)</f>
        <v/>
      </c>
      <c r="S42" s="17">
        <f>IF(N42="Cancelled",L42,0)</f>
        <v/>
      </c>
    </row>
    <row r="43">
      <c r="A43" t="n">
        <v>1042</v>
      </c>
      <c r="B43" s="15" t="n">
        <v>46041</v>
      </c>
      <c r="C43" t="inlineStr">
        <is>
          <t>Noah Patel</t>
        </is>
      </c>
      <c r="D43" t="inlineStr">
        <is>
          <t>Female</t>
        </is>
      </c>
      <c r="E43" s="16" t="n">
        <v>44</v>
      </c>
      <c r="F43" t="inlineStr">
        <is>
          <t>Frankfurt</t>
        </is>
      </c>
      <c r="G43" t="inlineStr">
        <is>
          <t>Laptop</t>
        </is>
      </c>
      <c r="H43" t="inlineStr">
        <is>
          <t>Electronics</t>
        </is>
      </c>
      <c r="I43" s="16" t="n">
        <v>2</v>
      </c>
      <c r="J43" s="17" t="n">
        <v>1387.95</v>
      </c>
      <c r="K43" s="17" t="n">
        <v>0.2</v>
      </c>
      <c r="L43" s="17" t="n">
        <v>2220.72</v>
      </c>
      <c r="M43" t="inlineStr">
        <is>
          <t>Bank Transfer</t>
        </is>
      </c>
      <c r="N43" t="inlineStr">
        <is>
          <t>Pending</t>
        </is>
      </c>
      <c r="O43">
        <f>TEXT(B43,"mmm")</f>
        <v/>
      </c>
      <c r="P43">
        <f>YEAR(B43)</f>
        <v/>
      </c>
      <c r="Q43" s="17">
        <f>L43*(1-K43)</f>
        <v/>
      </c>
      <c r="R43" s="17">
        <f>IF(N43="Completed",L43,0)</f>
        <v/>
      </c>
      <c r="S43" s="17">
        <f>IF(N43="Cancelled",L43,0)</f>
        <v/>
      </c>
    </row>
    <row r="44">
      <c r="A44" t="n">
        <v>1043</v>
      </c>
      <c r="B44" s="15" t="n">
        <v>46050</v>
      </c>
      <c r="C44" t="inlineStr">
        <is>
          <t>Ella Taylor</t>
        </is>
      </c>
      <c r="D44" t="inlineStr">
        <is>
          <t>Female</t>
        </is>
      </c>
      <c r="E44" s="16" t="n">
        <v>32</v>
      </c>
      <c r="F44" t="inlineStr">
        <is>
          <t>Munich</t>
        </is>
      </c>
      <c r="G44" t="inlineStr">
        <is>
          <t>Mouse</t>
        </is>
      </c>
      <c r="H44" t="inlineStr">
        <is>
          <t>Accessories</t>
        </is>
      </c>
      <c r="I44" s="16" t="n">
        <v>2</v>
      </c>
      <c r="J44" s="17" t="n">
        <v>57.64</v>
      </c>
      <c r="K44" s="17" t="n">
        <v>0</v>
      </c>
      <c r="L44" s="17" t="n">
        <v>115.28</v>
      </c>
      <c r="M44" t="inlineStr">
        <is>
          <t>Bank Transfer</t>
        </is>
      </c>
      <c r="N44" t="inlineStr">
        <is>
          <t>Cancelled</t>
        </is>
      </c>
      <c r="O44">
        <f>TEXT(B44,"mmm")</f>
        <v/>
      </c>
      <c r="P44">
        <f>YEAR(B44)</f>
        <v/>
      </c>
      <c r="Q44" s="17">
        <f>L44*(1-K44)</f>
        <v/>
      </c>
      <c r="R44" s="17">
        <f>IF(N44="Completed",L44,0)</f>
        <v/>
      </c>
      <c r="S44" s="17">
        <f>IF(N44="Cancelled",L44,0)</f>
        <v/>
      </c>
    </row>
    <row r="45">
      <c r="A45" t="n">
        <v>1044</v>
      </c>
      <c r="B45" s="15" t="n">
        <v>46139</v>
      </c>
      <c r="C45" t="inlineStr">
        <is>
          <t>Leo Patel</t>
        </is>
      </c>
      <c r="D45" t="inlineStr">
        <is>
          <t>Male</t>
        </is>
      </c>
      <c r="E45" s="16" t="n">
        <v>47</v>
      </c>
      <c r="F45" t="inlineStr">
        <is>
          <t>Düsseldorf</t>
        </is>
      </c>
      <c r="G45" t="inlineStr">
        <is>
          <t>USB Hub</t>
        </is>
      </c>
      <c r="H45" t="inlineStr">
        <is>
          <t>Accessories</t>
        </is>
      </c>
      <c r="I45" s="16" t="n">
        <v>2</v>
      </c>
      <c r="J45" s="17" t="n">
        <v>65.87</v>
      </c>
      <c r="K45" s="17" t="n">
        <v>0</v>
      </c>
      <c r="L45" s="17" t="n">
        <v>131.74</v>
      </c>
      <c r="M45" t="inlineStr">
        <is>
          <t>PayPal</t>
        </is>
      </c>
      <c r="N45" t="inlineStr">
        <is>
          <t>Cancelled</t>
        </is>
      </c>
      <c r="O45">
        <f>TEXT(B45,"mmm")</f>
        <v/>
      </c>
      <c r="P45">
        <f>YEAR(B45)</f>
        <v/>
      </c>
      <c r="Q45" s="17">
        <f>L45*(1-K45)</f>
        <v/>
      </c>
      <c r="R45" s="17">
        <f>IF(N45="Completed",L45,0)</f>
        <v/>
      </c>
      <c r="S45" s="17">
        <f>IF(N45="Cancelled",L45,0)</f>
        <v/>
      </c>
    </row>
    <row r="46">
      <c r="A46" t="n">
        <v>1045</v>
      </c>
      <c r="B46" s="15" t="n">
        <v>46138</v>
      </c>
      <c r="C46" t="inlineStr">
        <is>
          <t>Rohan Taylor</t>
        </is>
      </c>
      <c r="D46" t="inlineStr">
        <is>
          <t>Female</t>
        </is>
      </c>
      <c r="E46" s="16" t="n">
        <v>33</v>
      </c>
      <c r="F46" t="inlineStr">
        <is>
          <t>Cologne</t>
        </is>
      </c>
      <c r="G46" t="inlineStr">
        <is>
          <t>USB Hub</t>
        </is>
      </c>
      <c r="H46" t="inlineStr">
        <is>
          <t>Accessories</t>
        </is>
      </c>
      <c r="I46" s="16" t="n">
        <v>4</v>
      </c>
      <c r="J46" s="17" t="n">
        <v>64.86</v>
      </c>
      <c r="K46" s="17" t="n">
        <v>0.15</v>
      </c>
      <c r="L46" s="17" t="n">
        <v>220.52</v>
      </c>
      <c r="M46" t="inlineStr">
        <is>
          <t>Bank Transfer</t>
        </is>
      </c>
      <c r="N46" t="inlineStr">
        <is>
          <t>Pending</t>
        </is>
      </c>
      <c r="O46">
        <f>TEXT(B46,"mmm")</f>
        <v/>
      </c>
      <c r="P46">
        <f>YEAR(B46)</f>
        <v/>
      </c>
      <c r="Q46" s="17">
        <f>L46*(1-K46)</f>
        <v/>
      </c>
      <c r="R46" s="17">
        <f>IF(N46="Completed",L46,0)</f>
        <v/>
      </c>
      <c r="S46" s="17">
        <f>IF(N46="Cancelled",L46,0)</f>
        <v/>
      </c>
    </row>
    <row r="47">
      <c r="A47" t="n">
        <v>1046</v>
      </c>
      <c r="B47" s="15" t="n">
        <v>46092</v>
      </c>
      <c r="C47" t="inlineStr">
        <is>
          <t>Mia Miller</t>
        </is>
      </c>
      <c r="D47" t="inlineStr">
        <is>
          <t>Female</t>
        </is>
      </c>
      <c r="E47" s="16" t="n">
        <v>38</v>
      </c>
      <c r="F47" t="inlineStr">
        <is>
          <t>Hamburg</t>
        </is>
      </c>
      <c r="G47" t="inlineStr">
        <is>
          <t>Webcam</t>
        </is>
      </c>
      <c r="H47" t="inlineStr">
        <is>
          <t>Electronics</t>
        </is>
      </c>
      <c r="I47" s="16" t="n">
        <v>1</v>
      </c>
      <c r="J47" s="17" t="n">
        <v>125.63</v>
      </c>
      <c r="K47" s="17" t="n">
        <v>0.05</v>
      </c>
      <c r="L47" s="17" t="n">
        <v>119.35</v>
      </c>
      <c r="M47" t="inlineStr">
        <is>
          <t>Card</t>
        </is>
      </c>
      <c r="N47" t="inlineStr">
        <is>
          <t>Completed</t>
        </is>
      </c>
      <c r="O47">
        <f>TEXT(B47,"mmm")</f>
        <v/>
      </c>
      <c r="P47">
        <f>YEAR(B47)</f>
        <v/>
      </c>
      <c r="Q47" s="17">
        <f>L47*(1-K47)</f>
        <v/>
      </c>
      <c r="R47" s="17">
        <f>IF(N47="Completed",L47,0)</f>
        <v/>
      </c>
      <c r="S47" s="17">
        <f>IF(N47="Cancelled",L47,0)</f>
        <v/>
      </c>
    </row>
    <row r="48">
      <c r="A48" t="n">
        <v>1047</v>
      </c>
      <c r="B48" s="15" t="n">
        <v>46107</v>
      </c>
      <c r="C48" t="inlineStr">
        <is>
          <t>Mia Taylor</t>
        </is>
      </c>
      <c r="D48" t="inlineStr">
        <is>
          <t>Female</t>
        </is>
      </c>
      <c r="E48" s="16" t="n">
        <v>44</v>
      </c>
      <c r="F48" t="inlineStr">
        <is>
          <t>Berlin</t>
        </is>
      </c>
      <c r="G48" t="inlineStr">
        <is>
          <t>Keyboard</t>
        </is>
      </c>
      <c r="H48" t="inlineStr">
        <is>
          <t>Accessories</t>
        </is>
      </c>
      <c r="I48" s="16" t="n">
        <v>2</v>
      </c>
      <c r="J48" s="17" t="n">
        <v>31.1</v>
      </c>
      <c r="K48" s="17" t="n">
        <v>0.15</v>
      </c>
      <c r="L48" s="17" t="n">
        <v>52.87</v>
      </c>
      <c r="M48" t="inlineStr">
        <is>
          <t>Card</t>
        </is>
      </c>
      <c r="N48" t="inlineStr">
        <is>
          <t>Pending</t>
        </is>
      </c>
      <c r="O48">
        <f>TEXT(B48,"mmm")</f>
        <v/>
      </c>
      <c r="P48">
        <f>YEAR(B48)</f>
        <v/>
      </c>
      <c r="Q48" s="17">
        <f>L48*(1-K48)</f>
        <v/>
      </c>
      <c r="R48" s="17">
        <f>IF(N48="Completed",L48,0)</f>
        <v/>
      </c>
      <c r="S48" s="17">
        <f>IF(N48="Cancelled",L48,0)</f>
        <v/>
      </c>
    </row>
    <row r="49">
      <c r="A49" t="n">
        <v>1048</v>
      </c>
      <c r="B49" s="15" t="n">
        <v>46113</v>
      </c>
      <c r="C49" t="inlineStr">
        <is>
          <t>Daniel Martin</t>
        </is>
      </c>
      <c r="D49" t="inlineStr">
        <is>
          <t>Female</t>
        </is>
      </c>
      <c r="E49" s="16" t="n">
        <v>42</v>
      </c>
      <c r="F49" t="inlineStr">
        <is>
          <t>Leipzig</t>
        </is>
      </c>
      <c r="G49" t="inlineStr">
        <is>
          <t>Laptop</t>
        </is>
      </c>
      <c r="H49" t="inlineStr">
        <is>
          <t>Electronics</t>
        </is>
      </c>
      <c r="I49" s="16" t="n">
        <v>5</v>
      </c>
      <c r="J49" s="17" t="n">
        <v>935.29</v>
      </c>
      <c r="K49" s="17" t="n">
        <v>0</v>
      </c>
      <c r="L49" s="17" t="n">
        <v>4676.45</v>
      </c>
      <c r="M49" t="inlineStr">
        <is>
          <t>Bank Transfer</t>
        </is>
      </c>
      <c r="N49" t="inlineStr">
        <is>
          <t>Cancelled</t>
        </is>
      </c>
      <c r="O49">
        <f>TEXT(B49,"mmm")</f>
        <v/>
      </c>
      <c r="P49">
        <f>YEAR(B49)</f>
        <v/>
      </c>
      <c r="Q49" s="17">
        <f>L49*(1-K49)</f>
        <v/>
      </c>
      <c r="R49" s="17">
        <f>IF(N49="Completed",L49,0)</f>
        <v/>
      </c>
      <c r="S49" s="17">
        <f>IF(N49="Cancelled",L49,0)</f>
        <v/>
      </c>
    </row>
    <row r="50">
      <c r="A50" t="n">
        <v>1049</v>
      </c>
      <c r="B50" s="15" t="n">
        <v>46030</v>
      </c>
      <c r="C50" t="inlineStr">
        <is>
          <t>Nora Brown</t>
        </is>
      </c>
      <c r="D50" t="inlineStr">
        <is>
          <t>Female</t>
        </is>
      </c>
      <c r="E50" s="16" t="n">
        <v>39</v>
      </c>
      <c r="F50" t="inlineStr">
        <is>
          <t>Leipzig</t>
        </is>
      </c>
      <c r="G50" t="inlineStr">
        <is>
          <t>Webcam</t>
        </is>
      </c>
      <c r="H50" t="inlineStr">
        <is>
          <t>Electronics</t>
        </is>
      </c>
      <c r="I50" s="16" t="n">
        <v>2</v>
      </c>
      <c r="J50" s="17" t="n">
        <v>72.75</v>
      </c>
      <c r="K50" s="17" t="n">
        <v>0.15</v>
      </c>
      <c r="L50" s="17" t="n">
        <v>123.67</v>
      </c>
      <c r="M50" t="inlineStr">
        <is>
          <t>Bank Transfer</t>
        </is>
      </c>
      <c r="N50" t="inlineStr">
        <is>
          <t>Completed</t>
        </is>
      </c>
      <c r="O50">
        <f>TEXT(B50,"mmm")</f>
        <v/>
      </c>
      <c r="P50">
        <f>YEAR(B50)</f>
        <v/>
      </c>
      <c r="Q50" s="17">
        <f>L50*(1-K50)</f>
        <v/>
      </c>
      <c r="R50" s="17">
        <f>IF(N50="Completed",L50,0)</f>
        <v/>
      </c>
      <c r="S50" s="17">
        <f>IF(N50="Cancelled",L50,0)</f>
        <v/>
      </c>
    </row>
    <row r="51">
      <c r="A51" t="n">
        <v>1050</v>
      </c>
      <c r="B51" s="15" t="n">
        <v>46174</v>
      </c>
      <c r="C51" t="inlineStr">
        <is>
          <t>Leo Smith</t>
        </is>
      </c>
      <c r="D51" t="inlineStr">
        <is>
          <t>Male</t>
        </is>
      </c>
      <c r="E51" s="16" t="n">
        <v>23</v>
      </c>
      <c r="F51" t="inlineStr">
        <is>
          <t>Leipzig</t>
        </is>
      </c>
      <c r="G51" t="inlineStr">
        <is>
          <t>Printer</t>
        </is>
      </c>
      <c r="H51" t="inlineStr">
        <is>
          <t>Electronics</t>
        </is>
      </c>
      <c r="I51" s="16" t="n">
        <v>5</v>
      </c>
      <c r="J51" s="17" t="n">
        <v>106.74</v>
      </c>
      <c r="K51" s="17" t="n">
        <v>0.15</v>
      </c>
      <c r="L51" s="17" t="n">
        <v>453.64</v>
      </c>
      <c r="M51" t="inlineStr">
        <is>
          <t>Card</t>
        </is>
      </c>
      <c r="N51" t="inlineStr">
        <is>
          <t>Pending</t>
        </is>
      </c>
      <c r="O51">
        <f>TEXT(B51,"mmm")</f>
        <v/>
      </c>
      <c r="P51">
        <f>YEAR(B51)</f>
        <v/>
      </c>
      <c r="Q51" s="17">
        <f>L51*(1-K51)</f>
        <v/>
      </c>
      <c r="R51" s="17">
        <f>IF(N51="Completed",L51,0)</f>
        <v/>
      </c>
      <c r="S51" s="17">
        <f>IF(N51="Cancelled",L51,0)</f>
        <v/>
      </c>
    </row>
    <row r="52">
      <c r="A52" t="n">
        <v>1051</v>
      </c>
      <c r="B52" s="15" t="n">
        <v>46106</v>
      </c>
      <c r="C52" t="inlineStr">
        <is>
          <t>Olivia Patel</t>
        </is>
      </c>
      <c r="D52" t="inlineStr">
        <is>
          <t>Female</t>
        </is>
      </c>
      <c r="E52" s="16" t="n">
        <v>42</v>
      </c>
      <c r="F52" t="inlineStr">
        <is>
          <t>Cologne</t>
        </is>
      </c>
      <c r="G52" t="inlineStr">
        <is>
          <t>Headphones</t>
        </is>
      </c>
      <c r="H52" t="inlineStr">
        <is>
          <t>Accessories</t>
        </is>
      </c>
      <c r="I52" s="16" t="n">
        <v>4</v>
      </c>
      <c r="J52" s="17" t="n">
        <v>79.09999999999999</v>
      </c>
      <c r="K52" s="17" t="n">
        <v>0.15</v>
      </c>
      <c r="L52" s="17" t="n">
        <v>268.94</v>
      </c>
      <c r="M52" t="inlineStr">
        <is>
          <t>PayPal</t>
        </is>
      </c>
      <c r="N52" t="inlineStr">
        <is>
          <t>Completed</t>
        </is>
      </c>
      <c r="O52">
        <f>TEXT(B52,"mmm")</f>
        <v/>
      </c>
      <c r="P52">
        <f>YEAR(B52)</f>
        <v/>
      </c>
      <c r="Q52" s="17">
        <f>L52*(1-K52)</f>
        <v/>
      </c>
      <c r="R52" s="17">
        <f>IF(N52="Completed",L52,0)</f>
        <v/>
      </c>
      <c r="S52" s="17">
        <f>IF(N52="Cancelled",L52,0)</f>
        <v/>
      </c>
    </row>
    <row r="53">
      <c r="A53" t="n">
        <v>1052</v>
      </c>
      <c r="B53" s="15" t="n">
        <v>46080</v>
      </c>
      <c r="C53" t="inlineStr">
        <is>
          <t>Liam Anderson</t>
        </is>
      </c>
      <c r="D53" t="inlineStr">
        <is>
          <t>Male</t>
        </is>
      </c>
      <c r="E53" s="16" t="n">
        <v>20</v>
      </c>
      <c r="F53" t="inlineStr">
        <is>
          <t>Berlin</t>
        </is>
      </c>
      <c r="G53" t="inlineStr">
        <is>
          <t>Laptop</t>
        </is>
      </c>
      <c r="H53" t="inlineStr">
        <is>
          <t>Electronics</t>
        </is>
      </c>
      <c r="I53" s="16" t="n">
        <v>5</v>
      </c>
      <c r="J53" s="17" t="n">
        <v>689.0599999999999</v>
      </c>
      <c r="K53" s="17" t="n">
        <v>0.1</v>
      </c>
      <c r="L53" s="17" t="n">
        <v>3100.77</v>
      </c>
      <c r="M53" t="inlineStr">
        <is>
          <t>Card</t>
        </is>
      </c>
      <c r="N53" t="inlineStr">
        <is>
          <t>Completed</t>
        </is>
      </c>
      <c r="O53">
        <f>TEXT(B53,"mmm")</f>
        <v/>
      </c>
      <c r="P53">
        <f>YEAR(B53)</f>
        <v/>
      </c>
      <c r="Q53" s="17">
        <f>L53*(1-K53)</f>
        <v/>
      </c>
      <c r="R53" s="17">
        <f>IF(N53="Completed",L53,0)</f>
        <v/>
      </c>
      <c r="S53" s="17">
        <f>IF(N53="Cancelled",L53,0)</f>
        <v/>
      </c>
    </row>
    <row r="54">
      <c r="A54" t="n">
        <v>1053</v>
      </c>
      <c r="B54" s="15" t="n">
        <v>46167</v>
      </c>
      <c r="C54" t="inlineStr">
        <is>
          <t>Aarav Martin</t>
        </is>
      </c>
      <c r="D54" t="inlineStr">
        <is>
          <t>Male</t>
        </is>
      </c>
      <c r="E54" s="16" t="n">
        <v>47</v>
      </c>
      <c r="F54" t="inlineStr">
        <is>
          <t>Cologne</t>
        </is>
      </c>
      <c r="G54" t="inlineStr">
        <is>
          <t>Keyboard</t>
        </is>
      </c>
      <c r="H54" t="inlineStr">
        <is>
          <t>Accessories</t>
        </is>
      </c>
      <c r="I54" s="16" t="n">
        <v>2</v>
      </c>
      <c r="J54" s="17" t="n">
        <v>36.99</v>
      </c>
      <c r="K54" s="17" t="n">
        <v>0</v>
      </c>
      <c r="L54" s="17" t="n">
        <v>73.98</v>
      </c>
      <c r="M54" t="inlineStr">
        <is>
          <t>PayPal</t>
        </is>
      </c>
      <c r="N54" t="inlineStr">
        <is>
          <t>Completed</t>
        </is>
      </c>
      <c r="O54">
        <f>TEXT(B54,"mmm")</f>
        <v/>
      </c>
      <c r="P54">
        <f>YEAR(B54)</f>
        <v/>
      </c>
      <c r="Q54" s="17">
        <f>L54*(1-K54)</f>
        <v/>
      </c>
      <c r="R54" s="17">
        <f>IF(N54="Completed",L54,0)</f>
        <v/>
      </c>
      <c r="S54" s="17">
        <f>IF(N54="Cancelled",L54,0)</f>
        <v/>
      </c>
    </row>
    <row r="55">
      <c r="A55" t="n">
        <v>1054</v>
      </c>
      <c r="B55" s="15" t="n">
        <v>46171</v>
      </c>
      <c r="C55" t="inlineStr">
        <is>
          <t>Nora Martin</t>
        </is>
      </c>
      <c r="D55" t="inlineStr">
        <is>
          <t>Male</t>
        </is>
      </c>
      <c r="E55" s="16" t="n">
        <v>37</v>
      </c>
      <c r="F55" t="inlineStr">
        <is>
          <t>Leipzig</t>
        </is>
      </c>
      <c r="G55" t="inlineStr">
        <is>
          <t>Monitor</t>
        </is>
      </c>
      <c r="H55" t="inlineStr">
        <is>
          <t>Electronics</t>
        </is>
      </c>
      <c r="I55" s="16" t="n">
        <v>2</v>
      </c>
      <c r="J55" s="17" t="n">
        <v>439.42</v>
      </c>
      <c r="K55" s="17" t="n">
        <v>0</v>
      </c>
      <c r="L55" s="17" t="n">
        <v>878.84</v>
      </c>
      <c r="M55" t="inlineStr">
        <is>
          <t>PayPal</t>
        </is>
      </c>
      <c r="N55" t="inlineStr">
        <is>
          <t>Completed</t>
        </is>
      </c>
      <c r="O55">
        <f>TEXT(B55,"mmm")</f>
        <v/>
      </c>
      <c r="P55">
        <f>YEAR(B55)</f>
        <v/>
      </c>
      <c r="Q55" s="17">
        <f>L55*(1-K55)</f>
        <v/>
      </c>
      <c r="R55" s="17">
        <f>IF(N55="Completed",L55,0)</f>
        <v/>
      </c>
      <c r="S55" s="17">
        <f>IF(N55="Cancelled",L55,0)</f>
        <v/>
      </c>
    </row>
    <row r="56">
      <c r="A56" t="n">
        <v>1055</v>
      </c>
      <c r="B56" s="15" t="n">
        <v>46198</v>
      </c>
      <c r="C56" t="inlineStr">
        <is>
          <t>Liam Martin</t>
        </is>
      </c>
      <c r="D56" t="inlineStr">
        <is>
          <t>Male</t>
        </is>
      </c>
      <c r="E56" s="16" t="n">
        <v>54</v>
      </c>
      <c r="F56" t="inlineStr">
        <is>
          <t>Berlin</t>
        </is>
      </c>
      <c r="G56" t="inlineStr">
        <is>
          <t>Mouse</t>
        </is>
      </c>
      <c r="H56" t="inlineStr">
        <is>
          <t>Accessories</t>
        </is>
      </c>
      <c r="I56" s="16" t="n">
        <v>1</v>
      </c>
      <c r="J56" s="17" t="n">
        <v>60.32</v>
      </c>
      <c r="K56" s="17" t="n">
        <v>0.1</v>
      </c>
      <c r="L56" s="17" t="n">
        <v>54.29</v>
      </c>
      <c r="M56" t="inlineStr">
        <is>
          <t>PayPal</t>
        </is>
      </c>
      <c r="N56" t="inlineStr">
        <is>
          <t>Cancelled</t>
        </is>
      </c>
      <c r="O56">
        <f>TEXT(B56,"mmm")</f>
        <v/>
      </c>
      <c r="P56">
        <f>YEAR(B56)</f>
        <v/>
      </c>
      <c r="Q56" s="17">
        <f>L56*(1-K56)</f>
        <v/>
      </c>
      <c r="R56" s="17">
        <f>IF(N56="Completed",L56,0)</f>
        <v/>
      </c>
      <c r="S56" s="17">
        <f>IF(N56="Cancelled",L56,0)</f>
        <v/>
      </c>
    </row>
    <row r="57">
      <c r="A57" t="n">
        <v>1056</v>
      </c>
      <c r="B57" s="15" t="n">
        <v>46130</v>
      </c>
      <c r="C57" t="inlineStr">
        <is>
          <t>Ava Wilson</t>
        </is>
      </c>
      <c r="D57" t="inlineStr">
        <is>
          <t>Female</t>
        </is>
      </c>
      <c r="E57" s="16" t="n">
        <v>24</v>
      </c>
      <c r="F57" t="inlineStr">
        <is>
          <t>Leipzig</t>
        </is>
      </c>
      <c r="G57" t="inlineStr">
        <is>
          <t>Monitor</t>
        </is>
      </c>
      <c r="H57" t="inlineStr">
        <is>
          <t>Electronics</t>
        </is>
      </c>
      <c r="I57" s="16" t="n">
        <v>5</v>
      </c>
      <c r="J57" s="17" t="n">
        <v>344.26</v>
      </c>
      <c r="K57" s="17" t="n">
        <v>0</v>
      </c>
      <c r="L57" s="17" t="n">
        <v>1721.3</v>
      </c>
      <c r="M57" t="inlineStr">
        <is>
          <t>PayPal</t>
        </is>
      </c>
      <c r="N57" t="inlineStr">
        <is>
          <t>Pending</t>
        </is>
      </c>
      <c r="O57">
        <f>TEXT(B57,"mmm")</f>
        <v/>
      </c>
      <c r="P57">
        <f>YEAR(B57)</f>
        <v/>
      </c>
      <c r="Q57" s="17">
        <f>L57*(1-K57)</f>
        <v/>
      </c>
      <c r="R57" s="17">
        <f>IF(N57="Completed",L57,0)</f>
        <v/>
      </c>
      <c r="S57" s="17">
        <f>IF(N57="Cancelled",L57,0)</f>
        <v/>
      </c>
    </row>
    <row r="58">
      <c r="A58" t="n">
        <v>1057</v>
      </c>
      <c r="B58" s="15" t="n">
        <v>46180</v>
      </c>
      <c r="C58" t="inlineStr">
        <is>
          <t>Noah Taylor</t>
        </is>
      </c>
      <c r="D58" t="inlineStr">
        <is>
          <t>Female</t>
        </is>
      </c>
      <c r="E58" s="16" t="n">
        <v>47</v>
      </c>
      <c r="F58" t="inlineStr">
        <is>
          <t>Leipzig</t>
        </is>
      </c>
      <c r="G58" t="inlineStr">
        <is>
          <t>Keyboard</t>
        </is>
      </c>
      <c r="H58" t="inlineStr">
        <is>
          <t>Accessories</t>
        </is>
      </c>
      <c r="I58" s="16" t="n">
        <v>5</v>
      </c>
      <c r="J58" s="17" t="n">
        <v>116.72</v>
      </c>
      <c r="K58" s="17" t="n">
        <v>0.1</v>
      </c>
      <c r="L58" s="17" t="n">
        <v>525.24</v>
      </c>
      <c r="M58" t="inlineStr">
        <is>
          <t>Bank Transfer</t>
        </is>
      </c>
      <c r="N58" t="inlineStr">
        <is>
          <t>Cancelled</t>
        </is>
      </c>
      <c r="O58">
        <f>TEXT(B58,"mmm")</f>
        <v/>
      </c>
      <c r="P58">
        <f>YEAR(B58)</f>
        <v/>
      </c>
      <c r="Q58" s="17">
        <f>L58*(1-K58)</f>
        <v/>
      </c>
      <c r="R58" s="17">
        <f>IF(N58="Completed",L58,0)</f>
        <v/>
      </c>
      <c r="S58" s="17">
        <f>IF(N58="Cancelled",L58,0)</f>
        <v/>
      </c>
    </row>
    <row r="59">
      <c r="A59" t="n">
        <v>1058</v>
      </c>
      <c r="B59" s="15" t="n">
        <v>46085</v>
      </c>
      <c r="C59" t="inlineStr">
        <is>
          <t>Ethan Wilson</t>
        </is>
      </c>
      <c r="D59" t="inlineStr">
        <is>
          <t>Female</t>
        </is>
      </c>
      <c r="E59" s="16" t="n">
        <v>54</v>
      </c>
      <c r="F59" t="inlineStr">
        <is>
          <t>Leipzig</t>
        </is>
      </c>
      <c r="G59" t="inlineStr">
        <is>
          <t>Mouse</t>
        </is>
      </c>
      <c r="H59" t="inlineStr">
        <is>
          <t>Accessories</t>
        </is>
      </c>
      <c r="I59" s="16" t="n">
        <v>1</v>
      </c>
      <c r="J59" s="17" t="n">
        <v>33.13</v>
      </c>
      <c r="K59" s="17" t="n">
        <v>0.15</v>
      </c>
      <c r="L59" s="17" t="n">
        <v>28.16</v>
      </c>
      <c r="M59" t="inlineStr">
        <is>
          <t>PayPal</t>
        </is>
      </c>
      <c r="N59" t="inlineStr">
        <is>
          <t>Completed</t>
        </is>
      </c>
      <c r="O59">
        <f>TEXT(B59,"mmm")</f>
        <v/>
      </c>
      <c r="P59">
        <f>YEAR(B59)</f>
        <v/>
      </c>
      <c r="Q59" s="17">
        <f>L59*(1-K59)</f>
        <v/>
      </c>
      <c r="R59" s="17">
        <f>IF(N59="Completed",L59,0)</f>
        <v/>
      </c>
      <c r="S59" s="17">
        <f>IF(N59="Cancelled",L59,0)</f>
        <v/>
      </c>
    </row>
    <row r="60">
      <c r="A60" t="n">
        <v>1059</v>
      </c>
      <c r="B60" s="15" t="n">
        <v>46110</v>
      </c>
      <c r="C60" t="inlineStr">
        <is>
          <t>Ella Wilson</t>
        </is>
      </c>
      <c r="D60" t="inlineStr">
        <is>
          <t>Female</t>
        </is>
      </c>
      <c r="E60" s="16" t="n">
        <v>35</v>
      </c>
      <c r="F60" t="inlineStr">
        <is>
          <t>Berlin</t>
        </is>
      </c>
      <c r="G60" t="inlineStr">
        <is>
          <t>Keyboard</t>
        </is>
      </c>
      <c r="H60" t="inlineStr">
        <is>
          <t>Accessories</t>
        </is>
      </c>
      <c r="I60" s="16" t="n">
        <v>4</v>
      </c>
      <c r="J60" s="17" t="n">
        <v>45.15</v>
      </c>
      <c r="K60" s="17" t="n">
        <v>0.1</v>
      </c>
      <c r="L60" s="17" t="n">
        <v>162.54</v>
      </c>
      <c r="M60" t="inlineStr">
        <is>
          <t>Bank Transfer</t>
        </is>
      </c>
      <c r="N60" t="inlineStr">
        <is>
          <t>Completed</t>
        </is>
      </c>
      <c r="O60">
        <f>TEXT(B60,"mmm")</f>
        <v/>
      </c>
      <c r="P60">
        <f>YEAR(B60)</f>
        <v/>
      </c>
      <c r="Q60" s="17">
        <f>L60*(1-K60)</f>
        <v/>
      </c>
      <c r="R60" s="17">
        <f>IF(N60="Completed",L60,0)</f>
        <v/>
      </c>
      <c r="S60" s="17">
        <f>IF(N60="Cancelled",L60,0)</f>
        <v/>
      </c>
    </row>
    <row r="61">
      <c r="A61" t="n">
        <v>1060</v>
      </c>
      <c r="B61" s="15" t="n">
        <v>46199</v>
      </c>
      <c r="C61" t="inlineStr">
        <is>
          <t>Liam Brown</t>
        </is>
      </c>
      <c r="D61" t="inlineStr">
        <is>
          <t>Female</t>
        </is>
      </c>
      <c r="E61" s="16" t="n">
        <v>49</v>
      </c>
      <c r="F61" t="inlineStr">
        <is>
          <t>Stuttgart</t>
        </is>
      </c>
      <c r="G61" t="inlineStr">
        <is>
          <t>Desk</t>
        </is>
      </c>
      <c r="H61" t="inlineStr">
        <is>
          <t>Furniture</t>
        </is>
      </c>
      <c r="I61" s="16" t="n">
        <v>4</v>
      </c>
      <c r="J61" s="17" t="n">
        <v>385.42</v>
      </c>
      <c r="K61" s="17" t="n">
        <v>0.05</v>
      </c>
      <c r="L61" s="17" t="n">
        <v>1464.6</v>
      </c>
      <c r="M61" t="inlineStr">
        <is>
          <t>Card</t>
        </is>
      </c>
      <c r="N61" t="inlineStr">
        <is>
          <t>Completed</t>
        </is>
      </c>
      <c r="O61">
        <f>TEXT(B61,"mmm")</f>
        <v/>
      </c>
      <c r="P61">
        <f>YEAR(B61)</f>
        <v/>
      </c>
      <c r="Q61" s="17">
        <f>L61*(1-K61)</f>
        <v/>
      </c>
      <c r="R61" s="17">
        <f>IF(N61="Completed",L61,0)</f>
        <v/>
      </c>
      <c r="S61" s="17">
        <f>IF(N61="Cancelled",L61,0)</f>
        <v/>
      </c>
    </row>
    <row r="62">
      <c r="A62" t="n">
        <v>1061</v>
      </c>
      <c r="B62" s="15" t="n">
        <v>46117</v>
      </c>
      <c r="C62" t="inlineStr">
        <is>
          <t>Amelia Brown</t>
        </is>
      </c>
      <c r="D62" t="inlineStr">
        <is>
          <t>Female</t>
        </is>
      </c>
      <c r="E62" s="16" t="n">
        <v>53</v>
      </c>
      <c r="F62" t="inlineStr">
        <is>
          <t>Düsseldorf</t>
        </is>
      </c>
      <c r="G62" t="inlineStr">
        <is>
          <t>Desk</t>
        </is>
      </c>
      <c r="H62" t="inlineStr">
        <is>
          <t>Furniture</t>
        </is>
      </c>
      <c r="I62" s="16" t="n">
        <v>2</v>
      </c>
      <c r="J62" s="17" t="n">
        <v>293.3</v>
      </c>
      <c r="K62" s="17" t="n">
        <v>0.2</v>
      </c>
      <c r="L62" s="17" t="n">
        <v>469.28</v>
      </c>
      <c r="M62" t="inlineStr">
        <is>
          <t>PayPal</t>
        </is>
      </c>
      <c r="N62" t="inlineStr">
        <is>
          <t>Cancelled</t>
        </is>
      </c>
      <c r="O62">
        <f>TEXT(B62,"mmm")</f>
        <v/>
      </c>
      <c r="P62">
        <f>YEAR(B62)</f>
        <v/>
      </c>
      <c r="Q62" s="17">
        <f>L62*(1-K62)</f>
        <v/>
      </c>
      <c r="R62" s="17">
        <f>IF(N62="Completed",L62,0)</f>
        <v/>
      </c>
      <c r="S62" s="17">
        <f>IF(N62="Cancelled",L62,0)</f>
        <v/>
      </c>
    </row>
    <row r="63">
      <c r="A63" t="n">
        <v>1062</v>
      </c>
      <c r="B63" s="15" t="n">
        <v>46053</v>
      </c>
      <c r="C63" t="inlineStr">
        <is>
          <t>Arjun Wilson</t>
        </is>
      </c>
      <c r="D63" t="inlineStr">
        <is>
          <t>Male</t>
        </is>
      </c>
      <c r="E63" s="16" t="n">
        <v>38</v>
      </c>
      <c r="F63" t="inlineStr">
        <is>
          <t>Hamburg</t>
        </is>
      </c>
      <c r="G63" t="inlineStr">
        <is>
          <t>Webcam</t>
        </is>
      </c>
      <c r="H63" t="inlineStr">
        <is>
          <t>Electronics</t>
        </is>
      </c>
      <c r="I63" s="16" t="n">
        <v>3</v>
      </c>
      <c r="J63" s="17" t="n">
        <v>76.79000000000001</v>
      </c>
      <c r="K63" s="17" t="n">
        <v>0.05</v>
      </c>
      <c r="L63" s="17" t="n">
        <v>218.85</v>
      </c>
      <c r="M63" t="inlineStr">
        <is>
          <t>Bank Transfer</t>
        </is>
      </c>
      <c r="N63" t="inlineStr">
        <is>
          <t>Cancelled</t>
        </is>
      </c>
      <c r="O63">
        <f>TEXT(B63,"mmm")</f>
        <v/>
      </c>
      <c r="P63">
        <f>YEAR(B63)</f>
        <v/>
      </c>
      <c r="Q63" s="17">
        <f>L63*(1-K63)</f>
        <v/>
      </c>
      <c r="R63" s="17">
        <f>IF(N63="Completed",L63,0)</f>
        <v/>
      </c>
      <c r="S63" s="17">
        <f>IF(N63="Cancelled",L63,0)</f>
        <v/>
      </c>
    </row>
    <row r="64">
      <c r="A64" t="n">
        <v>1063</v>
      </c>
      <c r="B64" s="15" t="n">
        <v>46157</v>
      </c>
      <c r="C64" t="inlineStr">
        <is>
          <t>Olivia Brown</t>
        </is>
      </c>
      <c r="D64" t="inlineStr">
        <is>
          <t>Female</t>
        </is>
      </c>
      <c r="E64" s="16" t="n">
        <v>24</v>
      </c>
      <c r="F64" t="inlineStr">
        <is>
          <t>Frankfurt</t>
        </is>
      </c>
      <c r="G64" t="inlineStr">
        <is>
          <t>Mouse</t>
        </is>
      </c>
      <c r="H64" t="inlineStr">
        <is>
          <t>Accessories</t>
        </is>
      </c>
      <c r="I64" s="16" t="n">
        <v>4</v>
      </c>
      <c r="J64" s="17" t="n">
        <v>32.97</v>
      </c>
      <c r="K64" s="17" t="n">
        <v>0.2</v>
      </c>
      <c r="L64" s="17" t="n">
        <v>105.5</v>
      </c>
      <c r="M64" t="inlineStr">
        <is>
          <t>PayPal</t>
        </is>
      </c>
      <c r="N64" t="inlineStr">
        <is>
          <t>Completed</t>
        </is>
      </c>
      <c r="O64">
        <f>TEXT(B64,"mmm")</f>
        <v/>
      </c>
      <c r="P64">
        <f>YEAR(B64)</f>
        <v/>
      </c>
      <c r="Q64" s="17">
        <f>L64*(1-K64)</f>
        <v/>
      </c>
      <c r="R64" s="17">
        <f>IF(N64="Completed",L64,0)</f>
        <v/>
      </c>
      <c r="S64" s="17">
        <f>IF(N64="Cancelled",L64,0)</f>
        <v/>
      </c>
    </row>
    <row r="65">
      <c r="A65" t="n">
        <v>1064</v>
      </c>
      <c r="B65" s="15" t="n">
        <v>46093</v>
      </c>
      <c r="C65" t="inlineStr">
        <is>
          <t>Isla Smith</t>
        </is>
      </c>
      <c r="D65" t="inlineStr">
        <is>
          <t>Male</t>
        </is>
      </c>
      <c r="E65" s="16" t="n">
        <v>21</v>
      </c>
      <c r="F65" t="inlineStr">
        <is>
          <t>Cologne</t>
        </is>
      </c>
      <c r="G65" t="inlineStr">
        <is>
          <t>Headphones</t>
        </is>
      </c>
      <c r="H65" t="inlineStr">
        <is>
          <t>Accessories</t>
        </is>
      </c>
      <c r="I65" s="16" t="n">
        <v>1</v>
      </c>
      <c r="J65" s="17" t="n">
        <v>136.2</v>
      </c>
      <c r="K65" s="17" t="n">
        <v>0.05</v>
      </c>
      <c r="L65" s="17" t="n">
        <v>129.39</v>
      </c>
      <c r="M65" t="inlineStr">
        <is>
          <t>Bank Transfer</t>
        </is>
      </c>
      <c r="N65" t="inlineStr">
        <is>
          <t>Completed</t>
        </is>
      </c>
      <c r="O65">
        <f>TEXT(B65,"mmm")</f>
        <v/>
      </c>
      <c r="P65">
        <f>YEAR(B65)</f>
        <v/>
      </c>
      <c r="Q65" s="17">
        <f>L65*(1-K65)</f>
        <v/>
      </c>
      <c r="R65" s="17">
        <f>IF(N65="Completed",L65,0)</f>
        <v/>
      </c>
      <c r="S65" s="17">
        <f>IF(N65="Cancelled",L65,0)</f>
        <v/>
      </c>
    </row>
    <row r="66">
      <c r="A66" t="n">
        <v>1065</v>
      </c>
      <c r="B66" s="15" t="n">
        <v>46135</v>
      </c>
      <c r="C66" t="inlineStr">
        <is>
          <t>Ella Shah</t>
        </is>
      </c>
      <c r="D66" t="inlineStr">
        <is>
          <t>Female</t>
        </is>
      </c>
      <c r="E66" s="16" t="n">
        <v>29</v>
      </c>
      <c r="F66" t="inlineStr">
        <is>
          <t>Berlin</t>
        </is>
      </c>
      <c r="G66" t="inlineStr">
        <is>
          <t>Laptop</t>
        </is>
      </c>
      <c r="H66" t="inlineStr">
        <is>
          <t>Electronics</t>
        </is>
      </c>
      <c r="I66" s="16" t="n">
        <v>5</v>
      </c>
      <c r="J66" s="17" t="n">
        <v>863.25</v>
      </c>
      <c r="K66" s="17" t="n">
        <v>0.15</v>
      </c>
      <c r="L66" s="17" t="n">
        <v>3668.81</v>
      </c>
      <c r="M66" t="inlineStr">
        <is>
          <t>PayPal</t>
        </is>
      </c>
      <c r="N66" t="inlineStr">
        <is>
          <t>Pending</t>
        </is>
      </c>
      <c r="O66">
        <f>TEXT(B66,"mmm")</f>
        <v/>
      </c>
      <c r="P66">
        <f>YEAR(B66)</f>
        <v/>
      </c>
      <c r="Q66" s="17">
        <f>L66*(1-K66)</f>
        <v/>
      </c>
      <c r="R66" s="17">
        <f>IF(N66="Completed",L66,0)</f>
        <v/>
      </c>
      <c r="S66" s="17">
        <f>IF(N66="Cancelled",L66,0)</f>
        <v/>
      </c>
    </row>
    <row r="67">
      <c r="A67" t="n">
        <v>1066</v>
      </c>
      <c r="B67" s="15" t="n">
        <v>46061</v>
      </c>
      <c r="C67" t="inlineStr">
        <is>
          <t>Sophia Shah</t>
        </is>
      </c>
      <c r="D67" t="inlineStr">
        <is>
          <t>Male</t>
        </is>
      </c>
      <c r="E67" s="16" t="n">
        <v>54</v>
      </c>
      <c r="F67" t="inlineStr">
        <is>
          <t>Cologne</t>
        </is>
      </c>
      <c r="G67" t="inlineStr">
        <is>
          <t>Desk</t>
        </is>
      </c>
      <c r="H67" t="inlineStr">
        <is>
          <t>Furniture</t>
        </is>
      </c>
      <c r="I67" s="16" t="n">
        <v>4</v>
      </c>
      <c r="J67" s="17" t="n">
        <v>207.41</v>
      </c>
      <c r="K67" s="17" t="n">
        <v>0</v>
      </c>
      <c r="L67" s="17" t="n">
        <v>829.64</v>
      </c>
      <c r="M67" t="inlineStr">
        <is>
          <t>Card</t>
        </is>
      </c>
      <c r="N67" t="inlineStr">
        <is>
          <t>Completed</t>
        </is>
      </c>
      <c r="O67">
        <f>TEXT(B67,"mmm")</f>
        <v/>
      </c>
      <c r="P67">
        <f>YEAR(B67)</f>
        <v/>
      </c>
      <c r="Q67" s="17">
        <f>L67*(1-K67)</f>
        <v/>
      </c>
      <c r="R67" s="17">
        <f>IF(N67="Completed",L67,0)</f>
        <v/>
      </c>
      <c r="S67" s="17">
        <f>IF(N67="Cancelled",L67,0)</f>
        <v/>
      </c>
    </row>
    <row r="68">
      <c r="A68" t="n">
        <v>1067</v>
      </c>
      <c r="B68" s="15" t="n">
        <v>46080</v>
      </c>
      <c r="C68" t="inlineStr">
        <is>
          <t>Sophia Thomas</t>
        </is>
      </c>
      <c r="D68" t="inlineStr">
        <is>
          <t>Female</t>
        </is>
      </c>
      <c r="E68" s="16" t="n">
        <v>46</v>
      </c>
      <c r="F68" t="inlineStr">
        <is>
          <t>Stuttgart</t>
        </is>
      </c>
      <c r="G68" t="inlineStr">
        <is>
          <t>Desk</t>
        </is>
      </c>
      <c r="H68" t="inlineStr">
        <is>
          <t>Furniture</t>
        </is>
      </c>
      <c r="I68" s="16" t="n">
        <v>5</v>
      </c>
      <c r="J68" s="17" t="n">
        <v>400.57</v>
      </c>
      <c r="K68" s="17" t="n">
        <v>0.2</v>
      </c>
      <c r="L68" s="17" t="n">
        <v>1602.28</v>
      </c>
      <c r="M68" t="inlineStr">
        <is>
          <t>PayPal</t>
        </is>
      </c>
      <c r="N68" t="inlineStr">
        <is>
          <t>Cancelled</t>
        </is>
      </c>
      <c r="O68">
        <f>TEXT(B68,"mmm")</f>
        <v/>
      </c>
      <c r="P68">
        <f>YEAR(B68)</f>
        <v/>
      </c>
      <c r="Q68" s="17">
        <f>L68*(1-K68)</f>
        <v/>
      </c>
      <c r="R68" s="17">
        <f>IF(N68="Completed",L68,0)</f>
        <v/>
      </c>
      <c r="S68" s="17">
        <f>IF(N68="Cancelled",L68,0)</f>
        <v/>
      </c>
    </row>
    <row r="69">
      <c r="A69" t="n">
        <v>1068</v>
      </c>
      <c r="B69" s="15" t="n">
        <v>46076</v>
      </c>
      <c r="C69" t="inlineStr">
        <is>
          <t>Ava Miller</t>
        </is>
      </c>
      <c r="D69" t="inlineStr">
        <is>
          <t>Male</t>
        </is>
      </c>
      <c r="E69" s="16" t="n">
        <v>34</v>
      </c>
      <c r="F69" t="inlineStr">
        <is>
          <t>Hamburg</t>
        </is>
      </c>
      <c r="G69" t="inlineStr">
        <is>
          <t>Printer</t>
        </is>
      </c>
      <c r="H69" t="inlineStr">
        <is>
          <t>Electronics</t>
        </is>
      </c>
      <c r="I69" s="16" t="n">
        <v>5</v>
      </c>
      <c r="J69" s="17" t="n">
        <v>115.06</v>
      </c>
      <c r="K69" s="17" t="n">
        <v>0</v>
      </c>
      <c r="L69" s="17" t="n">
        <v>575.3</v>
      </c>
      <c r="M69" t="inlineStr">
        <is>
          <t>Card</t>
        </is>
      </c>
      <c r="N69" t="inlineStr">
        <is>
          <t>Completed</t>
        </is>
      </c>
      <c r="O69">
        <f>TEXT(B69,"mmm")</f>
        <v/>
      </c>
      <c r="P69">
        <f>YEAR(B69)</f>
        <v/>
      </c>
      <c r="Q69" s="17">
        <f>L69*(1-K69)</f>
        <v/>
      </c>
      <c r="R69" s="17">
        <f>IF(N69="Completed",L69,0)</f>
        <v/>
      </c>
      <c r="S69" s="17">
        <f>IF(N69="Cancelled",L69,0)</f>
        <v/>
      </c>
    </row>
    <row r="70">
      <c r="A70" t="n">
        <v>1069</v>
      </c>
      <c r="B70" s="15" t="n">
        <v>46199</v>
      </c>
      <c r="C70" t="inlineStr">
        <is>
          <t>Olivia Thomas</t>
        </is>
      </c>
      <c r="D70" t="inlineStr">
        <is>
          <t>Female</t>
        </is>
      </c>
      <c r="E70" s="16" t="n">
        <v>36</v>
      </c>
      <c r="F70" t="inlineStr">
        <is>
          <t>Berlin</t>
        </is>
      </c>
      <c r="G70" t="inlineStr">
        <is>
          <t>Monitor</t>
        </is>
      </c>
      <c r="H70" t="inlineStr">
        <is>
          <t>Electronics</t>
        </is>
      </c>
      <c r="I70" s="16" t="n">
        <v>2</v>
      </c>
      <c r="J70" s="17" t="n">
        <v>150.8</v>
      </c>
      <c r="K70" s="17" t="n">
        <v>0.15</v>
      </c>
      <c r="L70" s="17" t="n">
        <v>256.36</v>
      </c>
      <c r="M70" t="inlineStr">
        <is>
          <t>Card</t>
        </is>
      </c>
      <c r="N70" t="inlineStr">
        <is>
          <t>Completed</t>
        </is>
      </c>
      <c r="O70">
        <f>TEXT(B70,"mmm")</f>
        <v/>
      </c>
      <c r="P70">
        <f>YEAR(B70)</f>
        <v/>
      </c>
      <c r="Q70" s="17">
        <f>L70*(1-K70)</f>
        <v/>
      </c>
      <c r="R70" s="17">
        <f>IF(N70="Completed",L70,0)</f>
        <v/>
      </c>
      <c r="S70" s="17">
        <f>IF(N70="Cancelled",L70,0)</f>
        <v/>
      </c>
    </row>
    <row r="71">
      <c r="A71" t="n">
        <v>1070</v>
      </c>
      <c r="B71" s="15" t="n">
        <v>46192</v>
      </c>
      <c r="C71" t="inlineStr">
        <is>
          <t>Amelia Anderson</t>
        </is>
      </c>
      <c r="D71" t="inlineStr">
        <is>
          <t>Male</t>
        </is>
      </c>
      <c r="E71" s="16" t="n">
        <v>45</v>
      </c>
      <c r="F71" t="inlineStr">
        <is>
          <t>Hamburg</t>
        </is>
      </c>
      <c r="G71" t="inlineStr">
        <is>
          <t>Monitor</t>
        </is>
      </c>
      <c r="H71" t="inlineStr">
        <is>
          <t>Electronics</t>
        </is>
      </c>
      <c r="I71" s="16" t="n">
        <v>2</v>
      </c>
      <c r="J71" s="17" t="n">
        <v>427.17</v>
      </c>
      <c r="K71" s="17" t="n">
        <v>0.2</v>
      </c>
      <c r="L71" s="17" t="n">
        <v>683.47</v>
      </c>
      <c r="M71" t="inlineStr">
        <is>
          <t>Bank Transfer</t>
        </is>
      </c>
      <c r="N71" t="inlineStr">
        <is>
          <t>Completed</t>
        </is>
      </c>
      <c r="O71">
        <f>TEXT(B71,"mmm")</f>
        <v/>
      </c>
      <c r="P71">
        <f>YEAR(B71)</f>
        <v/>
      </c>
      <c r="Q71" s="17">
        <f>L71*(1-K71)</f>
        <v/>
      </c>
      <c r="R71" s="17">
        <f>IF(N71="Completed",L71,0)</f>
        <v/>
      </c>
      <c r="S71" s="17">
        <f>IF(N71="Cancelled",L71,0)</f>
        <v/>
      </c>
    </row>
    <row r="72">
      <c r="A72" t="n">
        <v>1071</v>
      </c>
      <c r="B72" s="15" t="n">
        <v>46175</v>
      </c>
      <c r="C72" t="inlineStr">
        <is>
          <t>Noah Miller</t>
        </is>
      </c>
      <c r="D72" t="inlineStr">
        <is>
          <t>Female</t>
        </is>
      </c>
      <c r="E72" s="16" t="n">
        <v>46</v>
      </c>
      <c r="F72" t="inlineStr">
        <is>
          <t>Hamburg</t>
        </is>
      </c>
      <c r="G72" t="inlineStr">
        <is>
          <t>Keyboard</t>
        </is>
      </c>
      <c r="H72" t="inlineStr">
        <is>
          <t>Accessories</t>
        </is>
      </c>
      <c r="I72" s="16" t="n">
        <v>1</v>
      </c>
      <c r="J72" s="17" t="n">
        <v>30.67</v>
      </c>
      <c r="K72" s="17" t="n">
        <v>0.1</v>
      </c>
      <c r="L72" s="17" t="n">
        <v>27.6</v>
      </c>
      <c r="M72" t="inlineStr">
        <is>
          <t>PayPal</t>
        </is>
      </c>
      <c r="N72" t="inlineStr">
        <is>
          <t>Completed</t>
        </is>
      </c>
      <c r="O72">
        <f>TEXT(B72,"mmm")</f>
        <v/>
      </c>
      <c r="P72">
        <f>YEAR(B72)</f>
        <v/>
      </c>
      <c r="Q72" s="17">
        <f>L72*(1-K72)</f>
        <v/>
      </c>
      <c r="R72" s="17">
        <f>IF(N72="Completed",L72,0)</f>
        <v/>
      </c>
      <c r="S72" s="17">
        <f>IF(N72="Cancelled",L72,0)</f>
        <v/>
      </c>
    </row>
    <row r="73">
      <c r="A73" t="n">
        <v>1072</v>
      </c>
      <c r="B73" s="15" t="n">
        <v>46176</v>
      </c>
      <c r="C73" t="inlineStr">
        <is>
          <t>Daniel Miller</t>
        </is>
      </c>
      <c r="D73" t="inlineStr">
        <is>
          <t>Male</t>
        </is>
      </c>
      <c r="E73" s="16" t="n">
        <v>45</v>
      </c>
      <c r="F73" t="inlineStr">
        <is>
          <t>Düsseldorf</t>
        </is>
      </c>
      <c r="G73" t="inlineStr">
        <is>
          <t>USB Hub</t>
        </is>
      </c>
      <c r="H73" t="inlineStr">
        <is>
          <t>Accessories</t>
        </is>
      </c>
      <c r="I73" s="16" t="n">
        <v>5</v>
      </c>
      <c r="J73" s="17" t="n">
        <v>44.69</v>
      </c>
      <c r="K73" s="17" t="n">
        <v>0</v>
      </c>
      <c r="L73" s="17" t="n">
        <v>223.45</v>
      </c>
      <c r="M73" t="inlineStr">
        <is>
          <t>Bank Transfer</t>
        </is>
      </c>
      <c r="N73" t="inlineStr">
        <is>
          <t>Completed</t>
        </is>
      </c>
      <c r="O73">
        <f>TEXT(B73,"mmm")</f>
        <v/>
      </c>
      <c r="P73">
        <f>YEAR(B73)</f>
        <v/>
      </c>
      <c r="Q73" s="17">
        <f>L73*(1-K73)</f>
        <v/>
      </c>
      <c r="R73" s="17">
        <f>IF(N73="Completed",L73,0)</f>
        <v/>
      </c>
      <c r="S73" s="17">
        <f>IF(N73="Cancelled",L73,0)</f>
        <v/>
      </c>
    </row>
    <row r="74">
      <c r="A74" t="n">
        <v>1073</v>
      </c>
      <c r="B74" s="15" t="n">
        <v>46195</v>
      </c>
      <c r="C74" t="inlineStr">
        <is>
          <t>Aarav Shah</t>
        </is>
      </c>
      <c r="D74" t="inlineStr">
        <is>
          <t>Female</t>
        </is>
      </c>
      <c r="E74" s="16" t="n">
        <v>54</v>
      </c>
      <c r="F74" t="inlineStr">
        <is>
          <t>Berlin</t>
        </is>
      </c>
      <c r="G74" t="inlineStr">
        <is>
          <t>Mouse</t>
        </is>
      </c>
      <c r="H74" t="inlineStr">
        <is>
          <t>Accessories</t>
        </is>
      </c>
      <c r="I74" s="16" t="n">
        <v>5</v>
      </c>
      <c r="J74" s="17" t="n">
        <v>53.16</v>
      </c>
      <c r="K74" s="17" t="n">
        <v>0</v>
      </c>
      <c r="L74" s="17" t="n">
        <v>265.8</v>
      </c>
      <c r="M74" t="inlineStr">
        <is>
          <t>Card</t>
        </is>
      </c>
      <c r="N74" t="inlineStr">
        <is>
          <t>Pending</t>
        </is>
      </c>
      <c r="O74">
        <f>TEXT(B74,"mmm")</f>
        <v/>
      </c>
      <c r="P74">
        <f>YEAR(B74)</f>
        <v/>
      </c>
      <c r="Q74" s="17">
        <f>L74*(1-K74)</f>
        <v/>
      </c>
      <c r="R74" s="17">
        <f>IF(N74="Completed",L74,0)</f>
        <v/>
      </c>
      <c r="S74" s="17">
        <f>IF(N74="Cancelled",L74,0)</f>
        <v/>
      </c>
    </row>
    <row r="75">
      <c r="A75" t="n">
        <v>1074</v>
      </c>
      <c r="B75" s="15" t="n">
        <v>46185</v>
      </c>
      <c r="C75" t="inlineStr">
        <is>
          <t>Rohan Anderson</t>
        </is>
      </c>
      <c r="D75" t="inlineStr">
        <is>
          <t>Female</t>
        </is>
      </c>
      <c r="E75" s="16" t="n">
        <v>23</v>
      </c>
      <c r="F75" t="inlineStr">
        <is>
          <t>Stuttgart</t>
        </is>
      </c>
      <c r="G75" t="inlineStr">
        <is>
          <t>Headphones</t>
        </is>
      </c>
      <c r="H75" t="inlineStr">
        <is>
          <t>Accessories</t>
        </is>
      </c>
      <c r="I75" s="16" t="n">
        <v>2</v>
      </c>
      <c r="J75" s="17" t="n">
        <v>179.54</v>
      </c>
      <c r="K75" s="17" t="n">
        <v>0.15</v>
      </c>
      <c r="L75" s="17" t="n">
        <v>305.22</v>
      </c>
      <c r="M75" t="inlineStr">
        <is>
          <t>PayPal</t>
        </is>
      </c>
      <c r="N75" t="inlineStr">
        <is>
          <t>Pending</t>
        </is>
      </c>
      <c r="O75">
        <f>TEXT(B75,"mmm")</f>
        <v/>
      </c>
      <c r="P75">
        <f>YEAR(B75)</f>
        <v/>
      </c>
      <c r="Q75" s="17">
        <f>L75*(1-K75)</f>
        <v/>
      </c>
      <c r="R75" s="17">
        <f>IF(N75="Completed",L75,0)</f>
        <v/>
      </c>
      <c r="S75" s="17">
        <f>IF(N75="Cancelled",L75,0)</f>
        <v/>
      </c>
    </row>
    <row r="76">
      <c r="A76" t="n">
        <v>1075</v>
      </c>
      <c r="B76" s="15" t="n">
        <v>46096</v>
      </c>
      <c r="C76" t="inlineStr">
        <is>
          <t>Arjun Wilson</t>
        </is>
      </c>
      <c r="D76" t="inlineStr">
        <is>
          <t>Female</t>
        </is>
      </c>
      <c r="E76" s="16" t="n">
        <v>53</v>
      </c>
      <c r="F76" t="inlineStr">
        <is>
          <t>Berlin</t>
        </is>
      </c>
      <c r="G76" t="inlineStr">
        <is>
          <t>Monitor</t>
        </is>
      </c>
      <c r="H76" t="inlineStr">
        <is>
          <t>Electronics</t>
        </is>
      </c>
      <c r="I76" s="16" t="n">
        <v>2</v>
      </c>
      <c r="J76" s="17" t="n">
        <v>248.94</v>
      </c>
      <c r="K76" s="17" t="n">
        <v>0.15</v>
      </c>
      <c r="L76" s="17" t="n">
        <v>423.2</v>
      </c>
      <c r="M76" t="inlineStr">
        <is>
          <t>PayPal</t>
        </is>
      </c>
      <c r="N76" t="inlineStr">
        <is>
          <t>Completed</t>
        </is>
      </c>
      <c r="O76">
        <f>TEXT(B76,"mmm")</f>
        <v/>
      </c>
      <c r="P76">
        <f>YEAR(B76)</f>
        <v/>
      </c>
      <c r="Q76" s="17">
        <f>L76*(1-K76)</f>
        <v/>
      </c>
      <c r="R76" s="17">
        <f>IF(N76="Completed",L76,0)</f>
        <v/>
      </c>
      <c r="S76" s="17">
        <f>IF(N76="Cancelled",L76,0)</f>
        <v/>
      </c>
    </row>
    <row r="77">
      <c r="A77" t="n">
        <v>1076</v>
      </c>
      <c r="B77" s="15" t="n">
        <v>46154</v>
      </c>
      <c r="C77" t="inlineStr">
        <is>
          <t>Arjun Miller</t>
        </is>
      </c>
      <c r="D77" t="inlineStr">
        <is>
          <t>Male</t>
        </is>
      </c>
      <c r="E77" s="16" t="n">
        <v>52</v>
      </c>
      <c r="F77" t="inlineStr">
        <is>
          <t>Stuttgart</t>
        </is>
      </c>
      <c r="G77" t="inlineStr">
        <is>
          <t>Office Chair</t>
        </is>
      </c>
      <c r="H77" t="inlineStr">
        <is>
          <t>Furniture</t>
        </is>
      </c>
      <c r="I77" s="16" t="n">
        <v>1</v>
      </c>
      <c r="J77" s="17" t="n">
        <v>391.65</v>
      </c>
      <c r="K77" s="17" t="n">
        <v>0.15</v>
      </c>
      <c r="L77" s="17" t="n">
        <v>332.9</v>
      </c>
      <c r="M77" t="inlineStr">
        <is>
          <t>PayPal</t>
        </is>
      </c>
      <c r="N77" t="inlineStr">
        <is>
          <t>Completed</t>
        </is>
      </c>
      <c r="O77">
        <f>TEXT(B77,"mmm")</f>
        <v/>
      </c>
      <c r="P77">
        <f>YEAR(B77)</f>
        <v/>
      </c>
      <c r="Q77" s="17">
        <f>L77*(1-K77)</f>
        <v/>
      </c>
      <c r="R77" s="17">
        <f>IF(N77="Completed",L77,0)</f>
        <v/>
      </c>
      <c r="S77" s="17">
        <f>IF(N77="Cancelled",L77,0)</f>
        <v/>
      </c>
    </row>
    <row r="78">
      <c r="A78" t="n">
        <v>1077</v>
      </c>
      <c r="B78" s="15" t="n">
        <v>46036</v>
      </c>
      <c r="C78" t="inlineStr">
        <is>
          <t>Lucas Thomas</t>
        </is>
      </c>
      <c r="D78" t="inlineStr">
        <is>
          <t>Male</t>
        </is>
      </c>
      <c r="E78" s="16" t="n">
        <v>35</v>
      </c>
      <c r="F78" t="inlineStr">
        <is>
          <t>Munich</t>
        </is>
      </c>
      <c r="G78" t="inlineStr">
        <is>
          <t>Office Chair</t>
        </is>
      </c>
      <c r="H78" t="inlineStr">
        <is>
          <t>Furniture</t>
        </is>
      </c>
      <c r="I78" s="16" t="n">
        <v>5</v>
      </c>
      <c r="J78" s="17" t="n">
        <v>331.8</v>
      </c>
      <c r="K78" s="17" t="n">
        <v>0.15</v>
      </c>
      <c r="L78" s="17" t="n">
        <v>1410.15</v>
      </c>
      <c r="M78" t="inlineStr">
        <is>
          <t>PayPal</t>
        </is>
      </c>
      <c r="N78" t="inlineStr">
        <is>
          <t>Pending</t>
        </is>
      </c>
      <c r="O78">
        <f>TEXT(B78,"mmm")</f>
        <v/>
      </c>
      <c r="P78">
        <f>YEAR(B78)</f>
        <v/>
      </c>
      <c r="Q78" s="17">
        <f>L78*(1-K78)</f>
        <v/>
      </c>
      <c r="R78" s="17">
        <f>IF(N78="Completed",L78,0)</f>
        <v/>
      </c>
      <c r="S78" s="17">
        <f>IF(N78="Cancelled",L78,0)</f>
        <v/>
      </c>
    </row>
    <row r="79">
      <c r="A79" t="n">
        <v>1078</v>
      </c>
      <c r="B79" s="15" t="n">
        <v>46102</v>
      </c>
      <c r="C79" t="inlineStr">
        <is>
          <t>Ella Shah</t>
        </is>
      </c>
      <c r="D79" t="inlineStr">
        <is>
          <t>Male</t>
        </is>
      </c>
      <c r="E79" s="16" t="n">
        <v>53</v>
      </c>
      <c r="F79" t="inlineStr">
        <is>
          <t>Leipzig</t>
        </is>
      </c>
      <c r="G79" t="inlineStr">
        <is>
          <t>Laptop</t>
        </is>
      </c>
      <c r="H79" t="inlineStr">
        <is>
          <t>Electronics</t>
        </is>
      </c>
      <c r="I79" s="16" t="n">
        <v>5</v>
      </c>
      <c r="J79" s="17" t="n">
        <v>1249.49</v>
      </c>
      <c r="K79" s="17" t="n">
        <v>0.05</v>
      </c>
      <c r="L79" s="17" t="n">
        <v>5935.08</v>
      </c>
      <c r="M79" t="inlineStr">
        <is>
          <t>Card</t>
        </is>
      </c>
      <c r="N79" t="inlineStr">
        <is>
          <t>Completed</t>
        </is>
      </c>
      <c r="O79">
        <f>TEXT(B79,"mmm")</f>
        <v/>
      </c>
      <c r="P79">
        <f>YEAR(B79)</f>
        <v/>
      </c>
      <c r="Q79" s="17">
        <f>L79*(1-K79)</f>
        <v/>
      </c>
      <c r="R79" s="17">
        <f>IF(N79="Completed",L79,0)</f>
        <v/>
      </c>
      <c r="S79" s="17">
        <f>IF(N79="Cancelled",L79,0)</f>
        <v/>
      </c>
    </row>
    <row r="80">
      <c r="A80" t="n">
        <v>1079</v>
      </c>
      <c r="B80" s="15" t="n">
        <v>46153</v>
      </c>
      <c r="C80" t="inlineStr">
        <is>
          <t>Sophia Anderson</t>
        </is>
      </c>
      <c r="D80" t="inlineStr">
        <is>
          <t>Female</t>
        </is>
      </c>
      <c r="E80" s="16" t="n">
        <v>44</v>
      </c>
      <c r="F80" t="inlineStr">
        <is>
          <t>Stuttgart</t>
        </is>
      </c>
      <c r="G80" t="inlineStr">
        <is>
          <t>Monitor</t>
        </is>
      </c>
      <c r="H80" t="inlineStr">
        <is>
          <t>Electronics</t>
        </is>
      </c>
      <c r="I80" s="16" t="n">
        <v>2</v>
      </c>
      <c r="J80" s="17" t="n">
        <v>299.51</v>
      </c>
      <c r="K80" s="17" t="n">
        <v>0.1</v>
      </c>
      <c r="L80" s="17" t="n">
        <v>539.12</v>
      </c>
      <c r="M80" t="inlineStr">
        <is>
          <t>PayPal</t>
        </is>
      </c>
      <c r="N80" t="inlineStr">
        <is>
          <t>Completed</t>
        </is>
      </c>
      <c r="O80">
        <f>TEXT(B80,"mmm")</f>
        <v/>
      </c>
      <c r="P80">
        <f>YEAR(B80)</f>
        <v/>
      </c>
      <c r="Q80" s="17">
        <f>L80*(1-K80)</f>
        <v/>
      </c>
      <c r="R80" s="17">
        <f>IF(N80="Completed",L80,0)</f>
        <v/>
      </c>
      <c r="S80" s="17">
        <f>IF(N80="Cancelled",L80,0)</f>
        <v/>
      </c>
    </row>
    <row r="81">
      <c r="A81" t="n">
        <v>1080</v>
      </c>
      <c r="B81" s="15" t="n">
        <v>46153</v>
      </c>
      <c r="C81" t="inlineStr">
        <is>
          <t>Leo Thomas</t>
        </is>
      </c>
      <c r="D81" t="inlineStr">
        <is>
          <t>Male</t>
        </is>
      </c>
      <c r="E81" s="16" t="n">
        <v>22</v>
      </c>
      <c r="F81" t="inlineStr">
        <is>
          <t>Cologne</t>
        </is>
      </c>
      <c r="G81" t="inlineStr">
        <is>
          <t>Keyboard</t>
        </is>
      </c>
      <c r="H81" t="inlineStr">
        <is>
          <t>Accessories</t>
        </is>
      </c>
      <c r="I81" s="16" t="n">
        <v>4</v>
      </c>
      <c r="J81" s="17" t="n">
        <v>43.11</v>
      </c>
      <c r="K81" s="17" t="n">
        <v>0.2</v>
      </c>
      <c r="L81" s="17" t="n">
        <v>137.95</v>
      </c>
      <c r="M81" t="inlineStr">
        <is>
          <t>PayPal</t>
        </is>
      </c>
      <c r="N81" t="inlineStr">
        <is>
          <t>Completed</t>
        </is>
      </c>
      <c r="O81">
        <f>TEXT(B81,"mmm")</f>
        <v/>
      </c>
      <c r="P81">
        <f>YEAR(B81)</f>
        <v/>
      </c>
      <c r="Q81" s="17">
        <f>L81*(1-K81)</f>
        <v/>
      </c>
      <c r="R81" s="17">
        <f>IF(N81="Completed",L81,0)</f>
        <v/>
      </c>
      <c r="S81" s="17">
        <f>IF(N81="Cancelled",L81,0)</f>
        <v/>
      </c>
    </row>
    <row r="82">
      <c r="A82" t="n">
        <v>1081</v>
      </c>
      <c r="B82" s="15" t="n">
        <v>46171</v>
      </c>
      <c r="C82" t="inlineStr">
        <is>
          <t>Rohan Miller</t>
        </is>
      </c>
      <c r="D82" t="inlineStr">
        <is>
          <t>Female</t>
        </is>
      </c>
      <c r="E82" s="16" t="n">
        <v>27</v>
      </c>
      <c r="F82" t="inlineStr">
        <is>
          <t>Stuttgart</t>
        </is>
      </c>
      <c r="G82" t="inlineStr">
        <is>
          <t>Laptop</t>
        </is>
      </c>
      <c r="H82" t="inlineStr">
        <is>
          <t>Electronics</t>
        </is>
      </c>
      <c r="I82" s="16" t="n">
        <v>3</v>
      </c>
      <c r="J82" s="17" t="n">
        <v>1194.54</v>
      </c>
      <c r="K82" s="17" t="n">
        <v>0.2</v>
      </c>
      <c r="L82" s="17" t="n">
        <v>2866.9</v>
      </c>
      <c r="M82" t="inlineStr">
        <is>
          <t>Bank Transfer</t>
        </is>
      </c>
      <c r="N82" t="inlineStr">
        <is>
          <t>Pending</t>
        </is>
      </c>
      <c r="O82">
        <f>TEXT(B82,"mmm")</f>
        <v/>
      </c>
      <c r="P82">
        <f>YEAR(B82)</f>
        <v/>
      </c>
      <c r="Q82" s="17">
        <f>L82*(1-K82)</f>
        <v/>
      </c>
      <c r="R82" s="17">
        <f>IF(N82="Completed",L82,0)</f>
        <v/>
      </c>
      <c r="S82" s="17">
        <f>IF(N82="Cancelled",L82,0)</f>
        <v/>
      </c>
    </row>
    <row r="83">
      <c r="A83" t="n">
        <v>1082</v>
      </c>
      <c r="B83" s="15" t="n">
        <v>46071</v>
      </c>
      <c r="C83" t="inlineStr">
        <is>
          <t>Isla Wilson</t>
        </is>
      </c>
      <c r="D83" t="inlineStr">
        <is>
          <t>Male</t>
        </is>
      </c>
      <c r="E83" s="16" t="n">
        <v>54</v>
      </c>
      <c r="F83" t="inlineStr">
        <is>
          <t>Leipzig</t>
        </is>
      </c>
      <c r="G83" t="inlineStr">
        <is>
          <t>USB Hub</t>
        </is>
      </c>
      <c r="H83" t="inlineStr">
        <is>
          <t>Accessories</t>
        </is>
      </c>
      <c r="I83" s="16" t="n">
        <v>5</v>
      </c>
      <c r="J83" s="17" t="n">
        <v>38.86</v>
      </c>
      <c r="K83" s="17" t="n">
        <v>0.1</v>
      </c>
      <c r="L83" s="17" t="n">
        <v>174.87</v>
      </c>
      <c r="M83" t="inlineStr">
        <is>
          <t>Card</t>
        </is>
      </c>
      <c r="N83" t="inlineStr">
        <is>
          <t>Pending</t>
        </is>
      </c>
      <c r="O83">
        <f>TEXT(B83,"mmm")</f>
        <v/>
      </c>
      <c r="P83">
        <f>YEAR(B83)</f>
        <v/>
      </c>
      <c r="Q83" s="17">
        <f>L83*(1-K83)</f>
        <v/>
      </c>
      <c r="R83" s="17">
        <f>IF(N83="Completed",L83,0)</f>
        <v/>
      </c>
      <c r="S83" s="17">
        <f>IF(N83="Cancelled",L83,0)</f>
        <v/>
      </c>
    </row>
    <row r="84">
      <c r="A84" t="n">
        <v>1083</v>
      </c>
      <c r="B84" s="15" t="n">
        <v>46149</v>
      </c>
      <c r="C84" t="inlineStr">
        <is>
          <t>Emma Wilson</t>
        </is>
      </c>
      <c r="D84" t="inlineStr">
        <is>
          <t>Male</t>
        </is>
      </c>
      <c r="E84" s="16" t="n">
        <v>26</v>
      </c>
      <c r="F84" t="inlineStr">
        <is>
          <t>Düsseldorf</t>
        </is>
      </c>
      <c r="G84" t="inlineStr">
        <is>
          <t>Webcam</t>
        </is>
      </c>
      <c r="H84" t="inlineStr">
        <is>
          <t>Electronics</t>
        </is>
      </c>
      <c r="I84" s="16" t="n">
        <v>4</v>
      </c>
      <c r="J84" s="17" t="n">
        <v>86.33</v>
      </c>
      <c r="K84" s="17" t="n">
        <v>0.05</v>
      </c>
      <c r="L84" s="17" t="n">
        <v>328.05</v>
      </c>
      <c r="M84" t="inlineStr">
        <is>
          <t>Card</t>
        </is>
      </c>
      <c r="N84" t="inlineStr">
        <is>
          <t>Pending</t>
        </is>
      </c>
      <c r="O84">
        <f>TEXT(B84,"mmm")</f>
        <v/>
      </c>
      <c r="P84">
        <f>YEAR(B84)</f>
        <v/>
      </c>
      <c r="Q84" s="17">
        <f>L84*(1-K84)</f>
        <v/>
      </c>
      <c r="R84" s="17">
        <f>IF(N84="Completed",L84,0)</f>
        <v/>
      </c>
      <c r="S84" s="17">
        <f>IF(N84="Cancelled",L84,0)</f>
        <v/>
      </c>
    </row>
    <row r="85">
      <c r="A85" t="n">
        <v>1084</v>
      </c>
      <c r="B85" s="15" t="n">
        <v>46190</v>
      </c>
      <c r="C85" t="inlineStr">
        <is>
          <t>Sophia Thomas</t>
        </is>
      </c>
      <c r="D85" t="inlineStr">
        <is>
          <t>Male</t>
        </is>
      </c>
      <c r="E85" s="16" t="n">
        <v>22</v>
      </c>
      <c r="F85" t="inlineStr">
        <is>
          <t>Stuttgart</t>
        </is>
      </c>
      <c r="G85" t="inlineStr">
        <is>
          <t>Webcam</t>
        </is>
      </c>
      <c r="H85" t="inlineStr">
        <is>
          <t>Electronics</t>
        </is>
      </c>
      <c r="I85" s="16" t="n">
        <v>1</v>
      </c>
      <c r="J85" s="17" t="n">
        <v>126.69</v>
      </c>
      <c r="K85" s="17" t="n">
        <v>0.15</v>
      </c>
      <c r="L85" s="17" t="n">
        <v>107.69</v>
      </c>
      <c r="M85" t="inlineStr">
        <is>
          <t>PayPal</t>
        </is>
      </c>
      <c r="N85" t="inlineStr">
        <is>
          <t>Completed</t>
        </is>
      </c>
      <c r="O85">
        <f>TEXT(B85,"mmm")</f>
        <v/>
      </c>
      <c r="P85">
        <f>YEAR(B85)</f>
        <v/>
      </c>
      <c r="Q85" s="17">
        <f>L85*(1-K85)</f>
        <v/>
      </c>
      <c r="R85" s="17">
        <f>IF(N85="Completed",L85,0)</f>
        <v/>
      </c>
      <c r="S85" s="17">
        <f>IF(N85="Cancelled",L85,0)</f>
        <v/>
      </c>
    </row>
    <row r="86">
      <c r="A86" t="n">
        <v>1085</v>
      </c>
      <c r="B86" s="15" t="n">
        <v>46120</v>
      </c>
      <c r="C86" t="inlineStr">
        <is>
          <t>Nora Taylor</t>
        </is>
      </c>
      <c r="D86" t="inlineStr">
        <is>
          <t>Female</t>
        </is>
      </c>
      <c r="E86" s="16" t="n">
        <v>49</v>
      </c>
      <c r="F86" t="inlineStr">
        <is>
          <t>Berlin</t>
        </is>
      </c>
      <c r="G86" t="inlineStr">
        <is>
          <t>Monitor</t>
        </is>
      </c>
      <c r="H86" t="inlineStr">
        <is>
          <t>Electronics</t>
        </is>
      </c>
      <c r="I86" s="16" t="n">
        <v>3</v>
      </c>
      <c r="J86" s="17" t="n">
        <v>405.7</v>
      </c>
      <c r="K86" s="17" t="n">
        <v>0.2</v>
      </c>
      <c r="L86" s="17" t="n">
        <v>973.6799999999999</v>
      </c>
      <c r="M86" t="inlineStr">
        <is>
          <t>Bank Transfer</t>
        </is>
      </c>
      <c r="N86" t="inlineStr">
        <is>
          <t>Completed</t>
        </is>
      </c>
      <c r="O86">
        <f>TEXT(B86,"mmm")</f>
        <v/>
      </c>
      <c r="P86">
        <f>YEAR(B86)</f>
        <v/>
      </c>
      <c r="Q86" s="17">
        <f>L86*(1-K86)</f>
        <v/>
      </c>
      <c r="R86" s="17">
        <f>IF(N86="Completed",L86,0)</f>
        <v/>
      </c>
      <c r="S86" s="17">
        <f>IF(N86="Cancelled",L86,0)</f>
        <v/>
      </c>
    </row>
    <row r="87">
      <c r="A87" t="n">
        <v>1086</v>
      </c>
      <c r="B87" s="15" t="n">
        <v>46185</v>
      </c>
      <c r="C87" t="inlineStr">
        <is>
          <t>Mia Miller</t>
        </is>
      </c>
      <c r="D87" t="inlineStr">
        <is>
          <t>Male</t>
        </is>
      </c>
      <c r="E87" s="16" t="n">
        <v>46</v>
      </c>
      <c r="F87" t="inlineStr">
        <is>
          <t>Munich</t>
        </is>
      </c>
      <c r="G87" t="inlineStr">
        <is>
          <t>Mouse</t>
        </is>
      </c>
      <c r="H87" t="inlineStr">
        <is>
          <t>Accessories</t>
        </is>
      </c>
      <c r="I87" s="16" t="n">
        <v>1</v>
      </c>
      <c r="J87" s="17" t="n">
        <v>43.21</v>
      </c>
      <c r="K87" s="17" t="n">
        <v>0</v>
      </c>
      <c r="L87" s="17" t="n">
        <v>43.21</v>
      </c>
      <c r="M87" t="inlineStr">
        <is>
          <t>Bank Transfer</t>
        </is>
      </c>
      <c r="N87" t="inlineStr">
        <is>
          <t>Completed</t>
        </is>
      </c>
      <c r="O87">
        <f>TEXT(B87,"mmm")</f>
        <v/>
      </c>
      <c r="P87">
        <f>YEAR(B87)</f>
        <v/>
      </c>
      <c r="Q87" s="17">
        <f>L87*(1-K87)</f>
        <v/>
      </c>
      <c r="R87" s="17">
        <f>IF(N87="Completed",L87,0)</f>
        <v/>
      </c>
      <c r="S87" s="17">
        <f>IF(N87="Cancelled",L87,0)</f>
        <v/>
      </c>
    </row>
    <row r="88">
      <c r="A88" t="n">
        <v>1087</v>
      </c>
      <c r="B88" s="15" t="n">
        <v>46133</v>
      </c>
      <c r="C88" t="inlineStr">
        <is>
          <t>Aarav Patel</t>
        </is>
      </c>
      <c r="D88" t="inlineStr">
        <is>
          <t>Male</t>
        </is>
      </c>
      <c r="E88" s="16" t="n">
        <v>33</v>
      </c>
      <c r="F88" t="inlineStr">
        <is>
          <t>Leipzig</t>
        </is>
      </c>
      <c r="G88" t="inlineStr">
        <is>
          <t>Office Chair</t>
        </is>
      </c>
      <c r="H88" t="inlineStr">
        <is>
          <t>Furniture</t>
        </is>
      </c>
      <c r="I88" s="16" t="n">
        <v>1</v>
      </c>
      <c r="J88" s="17" t="n">
        <v>202.14</v>
      </c>
      <c r="K88" s="17" t="n">
        <v>0.1</v>
      </c>
      <c r="L88" s="17" t="n">
        <v>181.93</v>
      </c>
      <c r="M88" t="inlineStr">
        <is>
          <t>Bank Transfer</t>
        </is>
      </c>
      <c r="N88" t="inlineStr">
        <is>
          <t>Completed</t>
        </is>
      </c>
      <c r="O88">
        <f>TEXT(B88,"mmm")</f>
        <v/>
      </c>
      <c r="P88">
        <f>YEAR(B88)</f>
        <v/>
      </c>
      <c r="Q88" s="17">
        <f>L88*(1-K88)</f>
        <v/>
      </c>
      <c r="R88" s="17">
        <f>IF(N88="Completed",L88,0)</f>
        <v/>
      </c>
      <c r="S88" s="17">
        <f>IF(N88="Cancelled",L88,0)</f>
        <v/>
      </c>
    </row>
    <row r="89">
      <c r="A89" t="n">
        <v>1088</v>
      </c>
      <c r="B89" s="15" t="n">
        <v>46197</v>
      </c>
      <c r="C89" t="inlineStr">
        <is>
          <t>Olivia Smith</t>
        </is>
      </c>
      <c r="D89" t="inlineStr">
        <is>
          <t>Male</t>
        </is>
      </c>
      <c r="E89" s="16" t="n">
        <v>49</v>
      </c>
      <c r="F89" t="inlineStr">
        <is>
          <t>Munich</t>
        </is>
      </c>
      <c r="G89" t="inlineStr">
        <is>
          <t>Monitor</t>
        </is>
      </c>
      <c r="H89" t="inlineStr">
        <is>
          <t>Electronics</t>
        </is>
      </c>
      <c r="I89" s="16" t="n">
        <v>5</v>
      </c>
      <c r="J89" s="17" t="n">
        <v>411.25</v>
      </c>
      <c r="K89" s="17" t="n">
        <v>0.2</v>
      </c>
      <c r="L89" s="17" t="n">
        <v>1645</v>
      </c>
      <c r="M89" t="inlineStr">
        <is>
          <t>Card</t>
        </is>
      </c>
      <c r="N89" t="inlineStr">
        <is>
          <t>Pending</t>
        </is>
      </c>
      <c r="O89">
        <f>TEXT(B89,"mmm")</f>
        <v/>
      </c>
      <c r="P89">
        <f>YEAR(B89)</f>
        <v/>
      </c>
      <c r="Q89" s="17">
        <f>L89*(1-K89)</f>
        <v/>
      </c>
      <c r="R89" s="17">
        <f>IF(N89="Completed",L89,0)</f>
        <v/>
      </c>
      <c r="S89" s="17">
        <f>IF(N89="Cancelled",L89,0)</f>
        <v/>
      </c>
    </row>
    <row r="90">
      <c r="A90" t="n">
        <v>1089</v>
      </c>
      <c r="B90" s="15" t="n">
        <v>46096</v>
      </c>
      <c r="C90" t="inlineStr">
        <is>
          <t>Ethan Anderson</t>
        </is>
      </c>
      <c r="D90" t="inlineStr">
        <is>
          <t>Male</t>
        </is>
      </c>
      <c r="E90" s="16" t="n">
        <v>22</v>
      </c>
      <c r="F90" t="inlineStr">
        <is>
          <t>Stuttgart</t>
        </is>
      </c>
      <c r="G90" t="inlineStr">
        <is>
          <t>Headphones</t>
        </is>
      </c>
      <c r="H90" t="inlineStr">
        <is>
          <t>Accessories</t>
        </is>
      </c>
      <c r="I90" s="16" t="n">
        <v>1</v>
      </c>
      <c r="J90" s="17" t="n">
        <v>164.84</v>
      </c>
      <c r="K90" s="17" t="n">
        <v>0.15</v>
      </c>
      <c r="L90" s="17" t="n">
        <v>140.11</v>
      </c>
      <c r="M90" t="inlineStr">
        <is>
          <t>PayPal</t>
        </is>
      </c>
      <c r="N90" t="inlineStr">
        <is>
          <t>Cancelled</t>
        </is>
      </c>
      <c r="O90">
        <f>TEXT(B90,"mmm")</f>
        <v/>
      </c>
      <c r="P90">
        <f>YEAR(B90)</f>
        <v/>
      </c>
      <c r="Q90" s="17">
        <f>L90*(1-K90)</f>
        <v/>
      </c>
      <c r="R90" s="17">
        <f>IF(N90="Completed",L90,0)</f>
        <v/>
      </c>
      <c r="S90" s="17">
        <f>IF(N90="Cancelled",L90,0)</f>
        <v/>
      </c>
    </row>
    <row r="91">
      <c r="A91" t="n">
        <v>1090</v>
      </c>
      <c r="B91" s="15" t="n">
        <v>46121</v>
      </c>
      <c r="C91" t="inlineStr">
        <is>
          <t>Amelia Taylor</t>
        </is>
      </c>
      <c r="D91" t="inlineStr">
        <is>
          <t>Female</t>
        </is>
      </c>
      <c r="E91" s="16" t="n">
        <v>24</v>
      </c>
      <c r="F91" t="inlineStr">
        <is>
          <t>Frankfurt</t>
        </is>
      </c>
      <c r="G91" t="inlineStr">
        <is>
          <t>Headphones</t>
        </is>
      </c>
      <c r="H91" t="inlineStr">
        <is>
          <t>Accessories</t>
        </is>
      </c>
      <c r="I91" s="16" t="n">
        <v>4</v>
      </c>
      <c r="J91" s="17" t="n">
        <v>156.8</v>
      </c>
      <c r="K91" s="17" t="n">
        <v>0.05</v>
      </c>
      <c r="L91" s="17" t="n">
        <v>595.84</v>
      </c>
      <c r="M91" t="inlineStr">
        <is>
          <t>PayPal</t>
        </is>
      </c>
      <c r="N91" t="inlineStr">
        <is>
          <t>Cancelled</t>
        </is>
      </c>
      <c r="O91">
        <f>TEXT(B91,"mmm")</f>
        <v/>
      </c>
      <c r="P91">
        <f>YEAR(B91)</f>
        <v/>
      </c>
      <c r="Q91" s="17">
        <f>L91*(1-K91)</f>
        <v/>
      </c>
      <c r="R91" s="17">
        <f>IF(N91="Completed",L91,0)</f>
        <v/>
      </c>
      <c r="S91" s="17">
        <f>IF(N91="Cancelled",L91,0)</f>
        <v/>
      </c>
    </row>
    <row r="92">
      <c r="A92" t="n">
        <v>1091</v>
      </c>
      <c r="B92" s="15" t="n">
        <v>46093</v>
      </c>
      <c r="C92" t="inlineStr">
        <is>
          <t>Isla Martin</t>
        </is>
      </c>
      <c r="D92" t="inlineStr">
        <is>
          <t>Male</t>
        </is>
      </c>
      <c r="E92" s="16" t="n">
        <v>54</v>
      </c>
      <c r="F92" t="inlineStr">
        <is>
          <t>Berlin</t>
        </is>
      </c>
      <c r="G92" t="inlineStr">
        <is>
          <t>Headphones</t>
        </is>
      </c>
      <c r="H92" t="inlineStr">
        <is>
          <t>Accessories</t>
        </is>
      </c>
      <c r="I92" s="16" t="n">
        <v>3</v>
      </c>
      <c r="J92" s="17" t="n">
        <v>33.29</v>
      </c>
      <c r="K92" s="17" t="n">
        <v>0.15</v>
      </c>
      <c r="L92" s="17" t="n">
        <v>84.89</v>
      </c>
      <c r="M92" t="inlineStr">
        <is>
          <t>Bank Transfer</t>
        </is>
      </c>
      <c r="N92" t="inlineStr">
        <is>
          <t>Pending</t>
        </is>
      </c>
      <c r="O92">
        <f>TEXT(B92,"mmm")</f>
        <v/>
      </c>
      <c r="P92">
        <f>YEAR(B92)</f>
        <v/>
      </c>
      <c r="Q92" s="17">
        <f>L92*(1-K92)</f>
        <v/>
      </c>
      <c r="R92" s="17">
        <f>IF(N92="Completed",L92,0)</f>
        <v/>
      </c>
      <c r="S92" s="17">
        <f>IF(N92="Cancelled",L92,0)</f>
        <v/>
      </c>
    </row>
    <row r="93">
      <c r="A93" t="n">
        <v>1092</v>
      </c>
      <c r="B93" s="15" t="n">
        <v>46181</v>
      </c>
      <c r="C93" t="inlineStr">
        <is>
          <t>Amelia Brown</t>
        </is>
      </c>
      <c r="D93" t="inlineStr">
        <is>
          <t>Female</t>
        </is>
      </c>
      <c r="E93" s="16" t="n">
        <v>26</v>
      </c>
      <c r="F93" t="inlineStr">
        <is>
          <t>Hamburg</t>
        </is>
      </c>
      <c r="G93" t="inlineStr">
        <is>
          <t>Printer</t>
        </is>
      </c>
      <c r="H93" t="inlineStr">
        <is>
          <t>Electronics</t>
        </is>
      </c>
      <c r="I93" s="16" t="n">
        <v>3</v>
      </c>
      <c r="J93" s="17" t="n">
        <v>154.75</v>
      </c>
      <c r="K93" s="17" t="n">
        <v>0.05</v>
      </c>
      <c r="L93" s="17" t="n">
        <v>441.04</v>
      </c>
      <c r="M93" t="inlineStr">
        <is>
          <t>Bank Transfer</t>
        </is>
      </c>
      <c r="N93" t="inlineStr">
        <is>
          <t>Completed</t>
        </is>
      </c>
      <c r="O93">
        <f>TEXT(B93,"mmm")</f>
        <v/>
      </c>
      <c r="P93">
        <f>YEAR(B93)</f>
        <v/>
      </c>
      <c r="Q93" s="17">
        <f>L93*(1-K93)</f>
        <v/>
      </c>
      <c r="R93" s="17">
        <f>IF(N93="Completed",L93,0)</f>
        <v/>
      </c>
      <c r="S93" s="17">
        <f>IF(N93="Cancelled",L93,0)</f>
        <v/>
      </c>
    </row>
    <row r="94">
      <c r="A94" t="n">
        <v>1093</v>
      </c>
      <c r="B94" s="15" t="n">
        <v>46046</v>
      </c>
      <c r="C94" t="inlineStr">
        <is>
          <t>Amelia Anderson</t>
        </is>
      </c>
      <c r="D94" t="inlineStr">
        <is>
          <t>Female</t>
        </is>
      </c>
      <c r="E94" s="16" t="n">
        <v>38</v>
      </c>
      <c r="F94" t="inlineStr">
        <is>
          <t>Leipzig</t>
        </is>
      </c>
      <c r="G94" t="inlineStr">
        <is>
          <t>Laptop</t>
        </is>
      </c>
      <c r="H94" t="inlineStr">
        <is>
          <t>Electronics</t>
        </is>
      </c>
      <c r="I94" s="16" t="n">
        <v>5</v>
      </c>
      <c r="J94" s="17" t="n">
        <v>923.65</v>
      </c>
      <c r="K94" s="17" t="n">
        <v>0.05</v>
      </c>
      <c r="L94" s="17" t="n">
        <v>4387.34</v>
      </c>
      <c r="M94" t="inlineStr">
        <is>
          <t>Card</t>
        </is>
      </c>
      <c r="N94" t="inlineStr">
        <is>
          <t>Completed</t>
        </is>
      </c>
      <c r="O94">
        <f>TEXT(B94,"mmm")</f>
        <v/>
      </c>
      <c r="P94">
        <f>YEAR(B94)</f>
        <v/>
      </c>
      <c r="Q94" s="17">
        <f>L94*(1-K94)</f>
        <v/>
      </c>
      <c r="R94" s="17">
        <f>IF(N94="Completed",L94,0)</f>
        <v/>
      </c>
      <c r="S94" s="17">
        <f>IF(N94="Cancelled",L94,0)</f>
        <v/>
      </c>
    </row>
    <row r="95">
      <c r="A95" t="n">
        <v>1094</v>
      </c>
      <c r="B95" s="15" t="n">
        <v>46065</v>
      </c>
      <c r="C95" t="inlineStr">
        <is>
          <t>Noah Thomas</t>
        </is>
      </c>
      <c r="D95" t="inlineStr">
        <is>
          <t>Female</t>
        </is>
      </c>
      <c r="E95" s="16" t="n">
        <v>48</v>
      </c>
      <c r="F95" t="inlineStr">
        <is>
          <t>Cologne</t>
        </is>
      </c>
      <c r="G95" t="inlineStr">
        <is>
          <t>Office Chair</t>
        </is>
      </c>
      <c r="H95" t="inlineStr">
        <is>
          <t>Furniture</t>
        </is>
      </c>
      <c r="I95" s="16" t="n">
        <v>5</v>
      </c>
      <c r="J95" s="17" t="n">
        <v>260.5</v>
      </c>
      <c r="K95" s="17" t="n">
        <v>0.1</v>
      </c>
      <c r="L95" s="17" t="n">
        <v>1172.25</v>
      </c>
      <c r="M95" t="inlineStr">
        <is>
          <t>Bank Transfer</t>
        </is>
      </c>
      <c r="N95" t="inlineStr">
        <is>
          <t>Completed</t>
        </is>
      </c>
      <c r="O95">
        <f>TEXT(B95,"mmm")</f>
        <v/>
      </c>
      <c r="P95">
        <f>YEAR(B95)</f>
        <v/>
      </c>
      <c r="Q95" s="17">
        <f>L95*(1-K95)</f>
        <v/>
      </c>
      <c r="R95" s="17">
        <f>IF(N95="Completed",L95,0)</f>
        <v/>
      </c>
      <c r="S95" s="17">
        <f>IF(N95="Cancelled",L95,0)</f>
        <v/>
      </c>
    </row>
    <row r="96">
      <c r="A96" t="n">
        <v>1095</v>
      </c>
      <c r="B96" s="15" t="n">
        <v>46196</v>
      </c>
      <c r="C96" t="inlineStr">
        <is>
          <t>Sophia Anderson</t>
        </is>
      </c>
      <c r="D96" t="inlineStr">
        <is>
          <t>Female</t>
        </is>
      </c>
      <c r="E96" s="16" t="n">
        <v>53</v>
      </c>
      <c r="F96" t="inlineStr">
        <is>
          <t>Düsseldorf</t>
        </is>
      </c>
      <c r="G96" t="inlineStr">
        <is>
          <t>Monitor</t>
        </is>
      </c>
      <c r="H96" t="inlineStr">
        <is>
          <t>Electronics</t>
        </is>
      </c>
      <c r="I96" s="16" t="n">
        <v>2</v>
      </c>
      <c r="J96" s="17" t="n">
        <v>376.25</v>
      </c>
      <c r="K96" s="17" t="n">
        <v>0.05</v>
      </c>
      <c r="L96" s="17" t="n">
        <v>714.88</v>
      </c>
      <c r="M96" t="inlineStr">
        <is>
          <t>Card</t>
        </is>
      </c>
      <c r="N96" t="inlineStr">
        <is>
          <t>Pending</t>
        </is>
      </c>
      <c r="O96">
        <f>TEXT(B96,"mmm")</f>
        <v/>
      </c>
      <c r="P96">
        <f>YEAR(B96)</f>
        <v/>
      </c>
      <c r="Q96" s="17">
        <f>L96*(1-K96)</f>
        <v/>
      </c>
      <c r="R96" s="17">
        <f>IF(N96="Completed",L96,0)</f>
        <v/>
      </c>
      <c r="S96" s="17">
        <f>IF(N96="Cancelled",L96,0)</f>
        <v/>
      </c>
    </row>
    <row r="97">
      <c r="A97" t="n">
        <v>1096</v>
      </c>
      <c r="B97" s="15" t="n">
        <v>46172</v>
      </c>
      <c r="C97" t="inlineStr">
        <is>
          <t>Aarav Miller</t>
        </is>
      </c>
      <c r="D97" t="inlineStr">
        <is>
          <t>Female</t>
        </is>
      </c>
      <c r="E97" s="16" t="n">
        <v>41</v>
      </c>
      <c r="F97" t="inlineStr">
        <is>
          <t>Hamburg</t>
        </is>
      </c>
      <c r="G97" t="inlineStr">
        <is>
          <t>USB Hub</t>
        </is>
      </c>
      <c r="H97" t="inlineStr">
        <is>
          <t>Accessories</t>
        </is>
      </c>
      <c r="I97" s="16" t="n">
        <v>1</v>
      </c>
      <c r="J97" s="17" t="n">
        <v>42.74</v>
      </c>
      <c r="K97" s="17" t="n">
        <v>0.1</v>
      </c>
      <c r="L97" s="17" t="n">
        <v>38.47</v>
      </c>
      <c r="M97" t="inlineStr">
        <is>
          <t>Bank Transfer</t>
        </is>
      </c>
      <c r="N97" t="inlineStr">
        <is>
          <t>Completed</t>
        </is>
      </c>
      <c r="O97">
        <f>TEXT(B97,"mmm")</f>
        <v/>
      </c>
      <c r="P97">
        <f>YEAR(B97)</f>
        <v/>
      </c>
      <c r="Q97" s="17">
        <f>L97*(1-K97)</f>
        <v/>
      </c>
      <c r="R97" s="17">
        <f>IF(N97="Completed",L97,0)</f>
        <v/>
      </c>
      <c r="S97" s="17">
        <f>IF(N97="Cancelled",L97,0)</f>
        <v/>
      </c>
    </row>
    <row r="98">
      <c r="A98" t="n">
        <v>1097</v>
      </c>
      <c r="B98" s="15" t="n">
        <v>46079</v>
      </c>
      <c r="C98" t="inlineStr">
        <is>
          <t>Ella Patel</t>
        </is>
      </c>
      <c r="D98" t="inlineStr">
        <is>
          <t>Male</t>
        </is>
      </c>
      <c r="E98" s="16" t="n">
        <v>47</v>
      </c>
      <c r="F98" t="inlineStr">
        <is>
          <t>Cologne</t>
        </is>
      </c>
      <c r="G98" t="inlineStr">
        <is>
          <t>Printer</t>
        </is>
      </c>
      <c r="H98" t="inlineStr">
        <is>
          <t>Electronics</t>
        </is>
      </c>
      <c r="I98" s="16" t="n">
        <v>5</v>
      </c>
      <c r="J98" s="17" t="n">
        <v>182</v>
      </c>
      <c r="K98" s="17" t="n">
        <v>0.2</v>
      </c>
      <c r="L98" s="17" t="n">
        <v>728</v>
      </c>
      <c r="M98" t="inlineStr">
        <is>
          <t>Bank Transfer</t>
        </is>
      </c>
      <c r="N98" t="inlineStr">
        <is>
          <t>Pending</t>
        </is>
      </c>
      <c r="O98">
        <f>TEXT(B98,"mmm")</f>
        <v/>
      </c>
      <c r="P98">
        <f>YEAR(B98)</f>
        <v/>
      </c>
      <c r="Q98" s="17">
        <f>L98*(1-K98)</f>
        <v/>
      </c>
      <c r="R98" s="17">
        <f>IF(N98="Completed",L98,0)</f>
        <v/>
      </c>
      <c r="S98" s="17">
        <f>IF(N98="Cancelled",L98,0)</f>
        <v/>
      </c>
    </row>
    <row r="99">
      <c r="A99" t="n">
        <v>1098</v>
      </c>
      <c r="B99" s="15" t="n">
        <v>46052</v>
      </c>
      <c r="C99" t="inlineStr">
        <is>
          <t>Sophia Smith</t>
        </is>
      </c>
      <c r="D99" t="inlineStr">
        <is>
          <t>Male</t>
        </is>
      </c>
      <c r="E99" s="16" t="n">
        <v>33</v>
      </c>
      <c r="F99" t="inlineStr">
        <is>
          <t>Munich</t>
        </is>
      </c>
      <c r="G99" t="inlineStr">
        <is>
          <t>Laptop</t>
        </is>
      </c>
      <c r="H99" t="inlineStr">
        <is>
          <t>Electronics</t>
        </is>
      </c>
      <c r="I99" s="16" t="n">
        <v>1</v>
      </c>
      <c r="J99" s="17" t="n">
        <v>878.27</v>
      </c>
      <c r="K99" s="17" t="n">
        <v>0.15</v>
      </c>
      <c r="L99" s="17" t="n">
        <v>746.53</v>
      </c>
      <c r="M99" t="inlineStr">
        <is>
          <t>PayPal</t>
        </is>
      </c>
      <c r="N99" t="inlineStr">
        <is>
          <t>Pending</t>
        </is>
      </c>
      <c r="O99">
        <f>TEXT(B99,"mmm")</f>
        <v/>
      </c>
      <c r="P99">
        <f>YEAR(B99)</f>
        <v/>
      </c>
      <c r="Q99" s="17">
        <f>L99*(1-K99)</f>
        <v/>
      </c>
      <c r="R99" s="17">
        <f>IF(N99="Completed",L99,0)</f>
        <v/>
      </c>
      <c r="S99" s="17">
        <f>IF(N99="Cancelled",L99,0)</f>
        <v/>
      </c>
    </row>
    <row r="100">
      <c r="A100" t="n">
        <v>1099</v>
      </c>
      <c r="B100" s="15" t="n">
        <v>46129</v>
      </c>
      <c r="C100" t="inlineStr">
        <is>
          <t>Isla Thomas</t>
        </is>
      </c>
      <c r="D100" t="inlineStr">
        <is>
          <t>Male</t>
        </is>
      </c>
      <c r="E100" s="16" t="n">
        <v>49</v>
      </c>
      <c r="F100" t="inlineStr">
        <is>
          <t>Leipzig</t>
        </is>
      </c>
      <c r="G100" t="inlineStr">
        <is>
          <t>Desk</t>
        </is>
      </c>
      <c r="H100" t="inlineStr">
        <is>
          <t>Furniture</t>
        </is>
      </c>
      <c r="I100" s="16" t="n">
        <v>5</v>
      </c>
      <c r="J100" s="17" t="n">
        <v>454.64</v>
      </c>
      <c r="K100" s="17" t="n">
        <v>0.05</v>
      </c>
      <c r="L100" s="17" t="n">
        <v>2159.54</v>
      </c>
      <c r="M100" t="inlineStr">
        <is>
          <t>PayPal</t>
        </is>
      </c>
      <c r="N100" t="inlineStr">
        <is>
          <t>Completed</t>
        </is>
      </c>
      <c r="O100">
        <f>TEXT(B100,"mmm")</f>
        <v/>
      </c>
      <c r="P100">
        <f>YEAR(B100)</f>
        <v/>
      </c>
      <c r="Q100" s="17">
        <f>L100*(1-K100)</f>
        <v/>
      </c>
      <c r="R100" s="17">
        <f>IF(N100="Completed",L100,0)</f>
        <v/>
      </c>
      <c r="S100" s="17">
        <f>IF(N100="Cancelled",L100,0)</f>
        <v/>
      </c>
    </row>
    <row r="101">
      <c r="A101" t="n">
        <v>1100</v>
      </c>
      <c r="B101" s="15" t="n">
        <v>46048</v>
      </c>
      <c r="C101" t="inlineStr">
        <is>
          <t>Isla Brown</t>
        </is>
      </c>
      <c r="D101" t="inlineStr">
        <is>
          <t>Female</t>
        </is>
      </c>
      <c r="E101" s="16" t="n">
        <v>52</v>
      </c>
      <c r="F101" t="inlineStr">
        <is>
          <t>Düsseldorf</t>
        </is>
      </c>
      <c r="G101" t="inlineStr">
        <is>
          <t>Webcam</t>
        </is>
      </c>
      <c r="H101" t="inlineStr">
        <is>
          <t>Electronics</t>
        </is>
      </c>
      <c r="I101" s="16" t="n">
        <v>4</v>
      </c>
      <c r="J101" s="17" t="n">
        <v>154.07</v>
      </c>
      <c r="K101" s="17" t="n">
        <v>0.1</v>
      </c>
      <c r="L101" s="17" t="n">
        <v>554.65</v>
      </c>
      <c r="M101" t="inlineStr">
        <is>
          <t>Card</t>
        </is>
      </c>
      <c r="N101" t="inlineStr">
        <is>
          <t>Pending</t>
        </is>
      </c>
      <c r="O101">
        <f>TEXT(B101,"mmm")</f>
        <v/>
      </c>
      <c r="P101">
        <f>YEAR(B101)</f>
        <v/>
      </c>
      <c r="Q101" s="17">
        <f>L101*(1-K101)</f>
        <v/>
      </c>
      <c r="R101" s="17">
        <f>IF(N101="Completed",L101,0)</f>
        <v/>
      </c>
      <c r="S101" s="17">
        <f>IF(N101="Cancelled",L101,0)</f>
        <v/>
      </c>
    </row>
  </sheetData>
  <autoFilter ref="A1:N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14" customWidth="1" min="5" max="5"/>
    <col width="18" customWidth="1" min="6" max="6"/>
    <col width="14" customWidth="1" min="7" max="7"/>
    <col width="14" customWidth="1" min="8" max="8"/>
    <col width="18" customWidth="1" min="9" max="9"/>
  </cols>
  <sheetData>
    <row r="1">
      <c r="A1" s="18" t="inlineStr">
        <is>
          <t>SALES ANALYSIS</t>
        </is>
      </c>
    </row>
    <row r="2"/>
    <row r="3">
      <c r="A3" s="19" t="inlineStr">
        <is>
          <t>KEY KPIs</t>
        </is>
      </c>
      <c r="D3" s="19" t="inlineStr">
        <is>
          <t>SALES BY CATEGORY</t>
        </is>
      </c>
      <c r="G3" s="19" t="inlineStr">
        <is>
          <t>MONTHLY SALES TREND</t>
        </is>
      </c>
    </row>
    <row r="4">
      <c r="A4" s="20" t="inlineStr">
        <is>
          <t>Total Orders</t>
        </is>
      </c>
      <c r="B4" s="21">
        <f>COUNTA('Sales_Data'!$A$2:$A$101)</f>
        <v/>
      </c>
      <c r="D4" s="22" t="inlineStr">
        <is>
          <t>Category</t>
        </is>
      </c>
      <c r="E4" s="22" t="inlineStr">
        <is>
          <t>Orders</t>
        </is>
      </c>
      <c r="F4" s="22" t="inlineStr">
        <is>
          <t>Sales</t>
        </is>
      </c>
      <c r="G4" s="22" t="inlineStr">
        <is>
          <t>Month</t>
        </is>
      </c>
      <c r="H4" s="22" t="inlineStr">
        <is>
          <t>Orders</t>
        </is>
      </c>
      <c r="I4" s="22" t="inlineStr">
        <is>
          <t>Sales</t>
        </is>
      </c>
    </row>
    <row r="5">
      <c r="A5" s="20" t="inlineStr">
        <is>
          <t>Total Sales</t>
        </is>
      </c>
      <c r="B5" s="23">
        <f>SUM('Sales_Data'!$L$2:$L$101)</f>
        <v/>
      </c>
      <c r="D5" s="24" t="inlineStr">
        <is>
          <t>Accessories</t>
        </is>
      </c>
      <c r="E5" s="24">
        <f>COUNTIFS('Sales_Data'!$H$2:$H$101,D5,'Sales_Data'!$N$2:$N$101,"Completed")</f>
        <v/>
      </c>
      <c r="F5" s="25">
        <f>SUMIFS('Sales_Data'!$L$2:$L$101,'Sales_Data'!$H$2:$H$101,D5,'Sales_Data'!$N$2:$N$101,"Completed")</f>
        <v/>
      </c>
      <c r="G5" s="26" t="n">
        <v>46023</v>
      </c>
      <c r="H5" s="24">
        <f>COUNTIFS('Sales_Data'!$B$2:$B$101,"&gt;="&amp;G5,'Sales_Data'!$B$2:$B$101,"&lt;"&amp;EDATE(G5,1),'Sales_Data'!$N$2:$N$101,"Completed")</f>
        <v/>
      </c>
      <c r="I5" s="25">
        <f>SUMIFS('Sales_Data'!$L$2:$L$101,'Sales_Data'!$B$2:$B$101,"&gt;="&amp;G5,'Sales_Data'!$B$2:$B$101,"&lt;"&amp;EDATE(G5,1),'Sales_Data'!$N$2:$N$101,"Completed")</f>
        <v/>
      </c>
    </row>
    <row r="6">
      <c r="A6" s="20" t="inlineStr">
        <is>
          <t>Completed Sales</t>
        </is>
      </c>
      <c r="B6" s="23">
        <f>SUMIF('Sales_Data'!$N$2:$N$101,"Completed",'Sales_Data'!$L$2:$L$101)</f>
        <v/>
      </c>
      <c r="D6" s="24" t="inlineStr">
        <is>
          <t>Electronics</t>
        </is>
      </c>
      <c r="E6" s="24">
        <f>COUNTIFS('Sales_Data'!$H$2:$H$101,D6,'Sales_Data'!$N$2:$N$101,"Completed")</f>
        <v/>
      </c>
      <c r="F6" s="25">
        <f>SUMIFS('Sales_Data'!$L$2:$L$101,'Sales_Data'!$H$2:$H$101,D6,'Sales_Data'!$N$2:$N$101,"Completed")</f>
        <v/>
      </c>
      <c r="G6" s="26" t="n">
        <v>46054</v>
      </c>
      <c r="H6" s="24">
        <f>COUNTIFS('Sales_Data'!$B$2:$B$101,"&gt;="&amp;G6,'Sales_Data'!$B$2:$B$101,"&lt;"&amp;EDATE(G6,1),'Sales_Data'!$N$2:$N$101,"Completed")</f>
        <v/>
      </c>
      <c r="I6" s="25">
        <f>SUMIFS('Sales_Data'!$L$2:$L$101,'Sales_Data'!$B$2:$B$101,"&gt;="&amp;G6,'Sales_Data'!$B$2:$B$101,"&lt;"&amp;EDATE(G6,1),'Sales_Data'!$N$2:$N$101,"Completed")</f>
        <v/>
      </c>
    </row>
    <row r="7">
      <c r="A7" s="20" t="inlineStr">
        <is>
          <t>Units Sold</t>
        </is>
      </c>
      <c r="B7" s="21">
        <f>SUMIF('Sales_Data'!$N$2:$N$101,"Completed",'Sales_Data'!$I$2:$I$101)</f>
        <v/>
      </c>
      <c r="D7" s="24" t="inlineStr">
        <is>
          <t>Furniture</t>
        </is>
      </c>
      <c r="E7" s="24">
        <f>COUNTIFS('Sales_Data'!$H$2:$H$101,D7,'Sales_Data'!$N$2:$N$101,"Completed")</f>
        <v/>
      </c>
      <c r="F7" s="25">
        <f>SUMIFS('Sales_Data'!$L$2:$L$101,'Sales_Data'!$H$2:$H$101,D7,'Sales_Data'!$N$2:$N$101,"Completed")</f>
        <v/>
      </c>
      <c r="G7" s="26" t="n">
        <v>46082</v>
      </c>
      <c r="H7" s="24">
        <f>COUNTIFS('Sales_Data'!$B$2:$B$101,"&gt;="&amp;G7,'Sales_Data'!$B$2:$B$101,"&lt;"&amp;EDATE(G7,1),'Sales_Data'!$N$2:$N$101,"Completed")</f>
        <v/>
      </c>
      <c r="I7" s="25">
        <f>SUMIFS('Sales_Data'!$L$2:$L$101,'Sales_Data'!$B$2:$B$101,"&gt;="&amp;G7,'Sales_Data'!$B$2:$B$101,"&lt;"&amp;EDATE(G7,1),'Sales_Data'!$N$2:$N$101,"Completed")</f>
        <v/>
      </c>
    </row>
    <row r="8">
      <c r="A8" s="20" t="inlineStr">
        <is>
          <t>Average Order Value</t>
        </is>
      </c>
      <c r="B8" s="23">
        <f>AVERAGEIF('Sales_Data'!$N$2:$N$101,"Completed",'Sales_Data'!$L$2:$L$101)</f>
        <v/>
      </c>
      <c r="G8" s="26" t="n">
        <v>46113</v>
      </c>
      <c r="H8" s="24">
        <f>COUNTIFS('Sales_Data'!$B$2:$B$101,"&gt;="&amp;G8,'Sales_Data'!$B$2:$B$101,"&lt;"&amp;EDATE(G8,1),'Sales_Data'!$N$2:$N$101,"Completed")</f>
        <v/>
      </c>
      <c r="I8" s="25">
        <f>SUMIFS('Sales_Data'!$L$2:$L$101,'Sales_Data'!$B$2:$B$101,"&gt;="&amp;G8,'Sales_Data'!$B$2:$B$101,"&lt;"&amp;EDATE(G8,1),'Sales_Data'!$N$2:$N$101,"Completed")</f>
        <v/>
      </c>
    </row>
    <row r="9">
      <c r="A9" s="20" t="inlineStr">
        <is>
          <t>Completion Rate</t>
        </is>
      </c>
      <c r="B9" s="27">
        <f>COUNTIF('Sales_Data'!$N$2:$N$101,"Completed")/COUNTA('Sales_Data'!$N$2:$N$101)</f>
        <v/>
      </c>
      <c r="G9" s="26" t="n">
        <v>46143</v>
      </c>
      <c r="H9" s="24">
        <f>COUNTIFS('Sales_Data'!$B$2:$B$101,"&gt;="&amp;G9,'Sales_Data'!$B$2:$B$101,"&lt;"&amp;EDATE(G9,1),'Sales_Data'!$N$2:$N$101,"Completed")</f>
        <v/>
      </c>
      <c r="I9" s="25">
        <f>SUMIFS('Sales_Data'!$L$2:$L$101,'Sales_Data'!$B$2:$B$101,"&gt;="&amp;G9,'Sales_Data'!$B$2:$B$101,"&lt;"&amp;EDATE(G9,1),'Sales_Data'!$N$2:$N$101,"Completed")</f>
        <v/>
      </c>
    </row>
    <row r="10">
      <c r="G10" s="26" t="n">
        <v>46174</v>
      </c>
      <c r="H10" s="24">
        <f>COUNTIFS('Sales_Data'!$B$2:$B$101,"&gt;="&amp;G10,'Sales_Data'!$B$2:$B$101,"&lt;"&amp;EDATE(G10,1),'Sales_Data'!$N$2:$N$101,"Completed")</f>
        <v/>
      </c>
      <c r="I10" s="25">
        <f>SUMIFS('Sales_Data'!$L$2:$L$101,'Sales_Data'!$B$2:$B$101,"&gt;="&amp;G10,'Sales_Data'!$B$2:$B$101,"&lt;"&amp;EDATE(G10,1),'Sales_Data'!$N$2:$N$101,"Completed")</f>
        <v/>
      </c>
    </row>
    <row r="11">
      <c r="G11" s="26" t="n">
        <v>46204</v>
      </c>
      <c r="H11" s="24">
        <f>COUNTIFS('Sales_Data'!$B$2:$B$101,"&gt;="&amp;G11,'Sales_Data'!$B$2:$B$101,"&lt;"&amp;EDATE(G11,1),'Sales_Data'!$N$2:$N$101,"Completed")</f>
        <v/>
      </c>
      <c r="I11" s="25">
        <f>SUMIFS('Sales_Data'!$L$2:$L$101,'Sales_Data'!$B$2:$B$101,"&gt;="&amp;G11,'Sales_Data'!$B$2:$B$101,"&lt;"&amp;EDATE(G11,1),'Sales_Data'!$N$2:$N$101,"Completed")</f>
        <v/>
      </c>
    </row>
    <row r="12">
      <c r="A12" s="19" t="inlineStr">
        <is>
          <t>SALES BY CITY</t>
        </is>
      </c>
      <c r="D12" s="19" t="inlineStr">
        <is>
          <t>PAYMENT METHOD</t>
        </is>
      </c>
      <c r="G12" s="26" t="n">
        <v>46235</v>
      </c>
      <c r="H12" s="24">
        <f>COUNTIFS('Sales_Data'!$B$2:$B$101,"&gt;="&amp;G12,'Sales_Data'!$B$2:$B$101,"&lt;"&amp;EDATE(G12,1),'Sales_Data'!$N$2:$N$101,"Completed")</f>
        <v/>
      </c>
      <c r="I12" s="25">
        <f>SUMIFS('Sales_Data'!$L$2:$L$101,'Sales_Data'!$B$2:$B$101,"&gt;="&amp;G12,'Sales_Data'!$B$2:$B$101,"&lt;"&amp;EDATE(G12,1),'Sales_Data'!$N$2:$N$101,"Completed")</f>
        <v/>
      </c>
    </row>
    <row r="13">
      <c r="A13" s="22" t="inlineStr">
        <is>
          <t>City</t>
        </is>
      </c>
      <c r="B13" s="22" t="inlineStr">
        <is>
          <t>Orders</t>
        </is>
      </c>
      <c r="C13" s="22" t="inlineStr">
        <is>
          <t>Sales</t>
        </is>
      </c>
      <c r="D13" s="22" t="inlineStr">
        <is>
          <t>Payment Method</t>
        </is>
      </c>
      <c r="E13" s="22" t="inlineStr">
        <is>
          <t>Orders</t>
        </is>
      </c>
      <c r="F13" s="22" t="inlineStr">
        <is>
          <t>Sales</t>
        </is>
      </c>
      <c r="G13" s="26" t="n">
        <v>46266</v>
      </c>
      <c r="H13" s="24">
        <f>COUNTIFS('Sales_Data'!$B$2:$B$101,"&gt;="&amp;G13,'Sales_Data'!$B$2:$B$101,"&lt;"&amp;EDATE(G13,1),'Sales_Data'!$N$2:$N$101,"Completed")</f>
        <v/>
      </c>
      <c r="I13" s="25">
        <f>SUMIFS('Sales_Data'!$L$2:$L$101,'Sales_Data'!$B$2:$B$101,"&gt;="&amp;G13,'Sales_Data'!$B$2:$B$101,"&lt;"&amp;EDATE(G13,1),'Sales_Data'!$N$2:$N$101,"Completed")</f>
        <v/>
      </c>
    </row>
    <row r="14">
      <c r="A14" s="24" t="inlineStr">
        <is>
          <t>Berlin</t>
        </is>
      </c>
      <c r="B14" s="24">
        <f>COUNTIFS('Sales_Data'!$F$2:$F$101,A14,'Sales_Data'!$N$2:$N$101,"Completed")</f>
        <v/>
      </c>
      <c r="C14" s="25">
        <f>SUMIFS('Sales_Data'!$L$2:$L$101,'Sales_Data'!$F$2:$F$101,A14,'Sales_Data'!$N$2:$N$101,"Completed")</f>
        <v/>
      </c>
      <c r="D14" s="24" t="inlineStr">
        <is>
          <t>Bank Transfer</t>
        </is>
      </c>
      <c r="E14" s="24">
        <f>COUNTIFS('Sales_Data'!$M$2:$M$101,D14,'Sales_Data'!$N$2:$N$101,"Completed")</f>
        <v/>
      </c>
      <c r="F14" s="25">
        <f>SUMIFS('Sales_Data'!$L$2:$L$101,'Sales_Data'!$M$2:$M$101,D14,'Sales_Data'!$N$2:$N$101,"Completed")</f>
        <v/>
      </c>
      <c r="G14" s="26" t="n">
        <v>46296</v>
      </c>
      <c r="H14" s="24">
        <f>COUNTIFS('Sales_Data'!$B$2:$B$101,"&gt;="&amp;G14,'Sales_Data'!$B$2:$B$101,"&lt;"&amp;EDATE(G14,1),'Sales_Data'!$N$2:$N$101,"Completed")</f>
        <v/>
      </c>
      <c r="I14" s="25">
        <f>SUMIFS('Sales_Data'!$L$2:$L$101,'Sales_Data'!$B$2:$B$101,"&gt;="&amp;G14,'Sales_Data'!$B$2:$B$101,"&lt;"&amp;EDATE(G14,1),'Sales_Data'!$N$2:$N$101,"Completed")</f>
        <v/>
      </c>
    </row>
    <row r="15">
      <c r="A15" s="24" t="inlineStr">
        <is>
          <t>Cologne</t>
        </is>
      </c>
      <c r="B15" s="24">
        <f>COUNTIFS('Sales_Data'!$F$2:$F$101,A15,'Sales_Data'!$N$2:$N$101,"Completed")</f>
        <v/>
      </c>
      <c r="C15" s="25">
        <f>SUMIFS('Sales_Data'!$L$2:$L$101,'Sales_Data'!$F$2:$F$101,A15,'Sales_Data'!$N$2:$N$101,"Completed")</f>
        <v/>
      </c>
      <c r="D15" s="24" t="inlineStr">
        <is>
          <t>Card</t>
        </is>
      </c>
      <c r="E15" s="24">
        <f>COUNTIFS('Sales_Data'!$M$2:$M$101,D15,'Sales_Data'!$N$2:$N$101,"Completed")</f>
        <v/>
      </c>
      <c r="F15" s="25">
        <f>SUMIFS('Sales_Data'!$L$2:$L$101,'Sales_Data'!$M$2:$M$101,D15,'Sales_Data'!$N$2:$N$101,"Completed")</f>
        <v/>
      </c>
      <c r="G15" s="26" t="n">
        <v>46327</v>
      </c>
      <c r="H15" s="24">
        <f>COUNTIFS('Sales_Data'!$B$2:$B$101,"&gt;="&amp;G15,'Sales_Data'!$B$2:$B$101,"&lt;"&amp;EDATE(G15,1),'Sales_Data'!$N$2:$N$101,"Completed")</f>
        <v/>
      </c>
      <c r="I15" s="25">
        <f>SUMIFS('Sales_Data'!$L$2:$L$101,'Sales_Data'!$B$2:$B$101,"&gt;="&amp;G15,'Sales_Data'!$B$2:$B$101,"&lt;"&amp;EDATE(G15,1),'Sales_Data'!$N$2:$N$101,"Completed")</f>
        <v/>
      </c>
    </row>
    <row r="16">
      <c r="A16" s="24" t="inlineStr">
        <is>
          <t>Düsseldorf</t>
        </is>
      </c>
      <c r="B16" s="24">
        <f>COUNTIFS('Sales_Data'!$F$2:$F$101,A16,'Sales_Data'!$N$2:$N$101,"Completed")</f>
        <v/>
      </c>
      <c r="C16" s="25">
        <f>SUMIFS('Sales_Data'!$L$2:$L$101,'Sales_Data'!$F$2:$F$101,A16,'Sales_Data'!$N$2:$N$101,"Completed")</f>
        <v/>
      </c>
      <c r="D16" s="24" t="inlineStr">
        <is>
          <t>PayPal</t>
        </is>
      </c>
      <c r="E16" s="24">
        <f>COUNTIFS('Sales_Data'!$M$2:$M$101,D16,'Sales_Data'!$N$2:$N$101,"Completed")</f>
        <v/>
      </c>
      <c r="F16" s="25">
        <f>SUMIFS('Sales_Data'!$L$2:$L$101,'Sales_Data'!$M$2:$M$101,D16,'Sales_Data'!$N$2:$N$101,"Completed")</f>
        <v/>
      </c>
      <c r="G16" s="26" t="n">
        <v>46357</v>
      </c>
      <c r="H16" s="24">
        <f>COUNTIFS('Sales_Data'!$B$2:$B$101,"&gt;="&amp;G16,'Sales_Data'!$B$2:$B$101,"&lt;"&amp;EDATE(G16,1),'Sales_Data'!$N$2:$N$101,"Completed")</f>
        <v/>
      </c>
      <c r="I16" s="25">
        <f>SUMIFS('Sales_Data'!$L$2:$L$101,'Sales_Data'!$B$2:$B$101,"&gt;="&amp;G16,'Sales_Data'!$B$2:$B$101,"&lt;"&amp;EDATE(G16,1),'Sales_Data'!$N$2:$N$101,"Completed")</f>
        <v/>
      </c>
    </row>
    <row r="17">
      <c r="A17" s="24" t="inlineStr">
        <is>
          <t>Frankfurt</t>
        </is>
      </c>
      <c r="B17" s="24">
        <f>COUNTIFS('Sales_Data'!$F$2:$F$101,A17,'Sales_Data'!$N$2:$N$101,"Completed")</f>
        <v/>
      </c>
      <c r="C17" s="25">
        <f>SUMIFS('Sales_Data'!$L$2:$L$101,'Sales_Data'!$F$2:$F$101,A17,'Sales_Data'!$N$2:$N$101,"Completed")</f>
        <v/>
      </c>
    </row>
    <row r="18">
      <c r="A18" s="24" t="inlineStr">
        <is>
          <t>Hamburg</t>
        </is>
      </c>
      <c r="B18" s="24">
        <f>COUNTIFS('Sales_Data'!$F$2:$F$101,A18,'Sales_Data'!$N$2:$N$101,"Completed")</f>
        <v/>
      </c>
      <c r="C18" s="25">
        <f>SUMIFS('Sales_Data'!$L$2:$L$101,'Sales_Data'!$F$2:$F$101,A18,'Sales_Data'!$N$2:$N$101,"Completed")</f>
        <v/>
      </c>
    </row>
    <row r="19">
      <c r="A19" s="24" t="inlineStr">
        <is>
          <t>Leipzig</t>
        </is>
      </c>
      <c r="B19" s="24">
        <f>COUNTIFS('Sales_Data'!$F$2:$F$101,A19,'Sales_Data'!$N$2:$N$101,"Completed")</f>
        <v/>
      </c>
      <c r="C19" s="25">
        <f>SUMIFS('Sales_Data'!$L$2:$L$101,'Sales_Data'!$F$2:$F$101,A19,'Sales_Data'!$N$2:$N$101,"Completed")</f>
        <v/>
      </c>
    </row>
    <row r="20">
      <c r="A20" s="24" t="inlineStr">
        <is>
          <t>Munich</t>
        </is>
      </c>
      <c r="B20" s="24">
        <f>COUNTIFS('Sales_Data'!$F$2:$F$101,A20,'Sales_Data'!$N$2:$N$101,"Completed")</f>
        <v/>
      </c>
      <c r="C20" s="25">
        <f>SUMIFS('Sales_Data'!$L$2:$L$101,'Sales_Data'!$F$2:$F$101,A20,'Sales_Data'!$N$2:$N$101,"Completed")</f>
        <v/>
      </c>
    </row>
    <row r="21">
      <c r="A21" s="24" t="inlineStr">
        <is>
          <t>Stuttgart</t>
        </is>
      </c>
      <c r="B21" s="24">
        <f>COUNTIFS('Sales_Data'!$F$2:$F$101,A21,'Sales_Data'!$N$2:$N$101,"Completed")</f>
        <v/>
      </c>
      <c r="C21" s="25">
        <f>SUMIFS('Sales_Data'!$L$2:$L$101,'Sales_Data'!$F$2:$F$101,A21,'Sales_Data'!$N$2:$N$101,"Completed")</f>
        <v/>
      </c>
    </row>
    <row r="22"/>
    <row r="23"/>
    <row r="24">
      <c r="A24" s="19" t="inlineStr">
        <is>
          <t>TOP PRODUCTS</t>
        </is>
      </c>
      <c r="F24" s="19" t="inlineStr">
        <is>
          <t>ORDER STATUS</t>
        </is>
      </c>
    </row>
    <row r="25">
      <c r="A25" s="22" t="inlineStr">
        <is>
          <t>Product</t>
        </is>
      </c>
      <c r="B25" s="22" t="inlineStr">
        <is>
          <t>Units</t>
        </is>
      </c>
      <c r="C25" s="22" t="inlineStr">
        <is>
          <t>Orders</t>
        </is>
      </c>
      <c r="D25" s="22" t="inlineStr">
        <is>
          <t>Sales</t>
        </is>
      </c>
      <c r="F25" s="22" t="inlineStr">
        <is>
          <t>Status</t>
        </is>
      </c>
      <c r="G25" s="22" t="inlineStr">
        <is>
          <t>Orders</t>
        </is>
      </c>
      <c r="H25" s="22" t="inlineStr">
        <is>
          <t>Sales</t>
        </is>
      </c>
    </row>
    <row r="26">
      <c r="A26" s="24" t="inlineStr">
        <is>
          <t>Desk</t>
        </is>
      </c>
      <c r="B26" s="24">
        <f>SUMIFS('Sales_Data'!$I$2:$I$101,'Sales_Data'!$G$2:$G$101,A26,'Sales_Data'!$N$2:$N$101,"Completed")</f>
        <v/>
      </c>
      <c r="C26" s="24">
        <f>COUNTIFS('Sales_Data'!$G$2:$G$101,A26,'Sales_Data'!$N$2:$N$101,"Completed")</f>
        <v/>
      </c>
      <c r="D26" s="25">
        <f>SUMIFS('Sales_Data'!$L$2:$L$101,'Sales_Data'!$G$2:$G$101,A26,'Sales_Data'!$N$2:$N$101,"Completed")</f>
        <v/>
      </c>
      <c r="F26" s="24" t="inlineStr">
        <is>
          <t>Completed</t>
        </is>
      </c>
      <c r="G26" s="24">
        <f>COUNTIF('Sales_Data'!$N$2:$N$101,F26)</f>
        <v/>
      </c>
      <c r="H26" s="25">
        <f>SUMIF('Sales_Data'!$N$2:$N$101,F26,'Sales_Data'!$L$2:$L$101)</f>
        <v/>
      </c>
    </row>
    <row r="27">
      <c r="A27" s="24" t="inlineStr">
        <is>
          <t>Headphones</t>
        </is>
      </c>
      <c r="B27" s="24">
        <f>SUMIFS('Sales_Data'!$I$2:$I$101,'Sales_Data'!$G$2:$G$101,A27,'Sales_Data'!$N$2:$N$101,"Completed")</f>
        <v/>
      </c>
      <c r="C27" s="24">
        <f>COUNTIFS('Sales_Data'!$G$2:$G$101,A27,'Sales_Data'!$N$2:$N$101,"Completed")</f>
        <v/>
      </c>
      <c r="D27" s="25">
        <f>SUMIFS('Sales_Data'!$L$2:$L$101,'Sales_Data'!$G$2:$G$101,A27,'Sales_Data'!$N$2:$N$101,"Completed")</f>
        <v/>
      </c>
      <c r="F27" s="24" t="inlineStr">
        <is>
          <t>Pending</t>
        </is>
      </c>
      <c r="G27" s="24">
        <f>COUNTIF('Sales_Data'!$N$2:$N$101,F27)</f>
        <v/>
      </c>
      <c r="H27" s="25">
        <f>SUMIF('Sales_Data'!$N$2:$N$101,F27,'Sales_Data'!$L$2:$L$101)</f>
        <v/>
      </c>
    </row>
    <row r="28">
      <c r="A28" s="24" t="inlineStr">
        <is>
          <t>Keyboard</t>
        </is>
      </c>
      <c r="B28" s="24">
        <f>SUMIFS('Sales_Data'!$I$2:$I$101,'Sales_Data'!$G$2:$G$101,A28,'Sales_Data'!$N$2:$N$101,"Completed")</f>
        <v/>
      </c>
      <c r="C28" s="24">
        <f>COUNTIFS('Sales_Data'!$G$2:$G$101,A28,'Sales_Data'!$N$2:$N$101,"Completed")</f>
        <v/>
      </c>
      <c r="D28" s="25">
        <f>SUMIFS('Sales_Data'!$L$2:$L$101,'Sales_Data'!$G$2:$G$101,A28,'Sales_Data'!$N$2:$N$101,"Completed")</f>
        <v/>
      </c>
      <c r="F28" s="24" t="inlineStr">
        <is>
          <t>Cancelled</t>
        </is>
      </c>
      <c r="G28" s="24">
        <f>COUNTIF('Sales_Data'!$N$2:$N$101,F28)</f>
        <v/>
      </c>
      <c r="H28" s="25">
        <f>SUMIF('Sales_Data'!$N$2:$N$101,F28,'Sales_Data'!$L$2:$L$101)</f>
        <v/>
      </c>
    </row>
    <row r="29">
      <c r="A29" s="24" t="inlineStr">
        <is>
          <t>Laptop</t>
        </is>
      </c>
      <c r="B29" s="24">
        <f>SUMIFS('Sales_Data'!$I$2:$I$101,'Sales_Data'!$G$2:$G$101,A29,'Sales_Data'!$N$2:$N$101,"Completed")</f>
        <v/>
      </c>
      <c r="C29" s="24">
        <f>COUNTIFS('Sales_Data'!$G$2:$G$101,A29,'Sales_Data'!$N$2:$N$101,"Completed")</f>
        <v/>
      </c>
      <c r="D29" s="25">
        <f>SUMIFS('Sales_Data'!$L$2:$L$101,'Sales_Data'!$G$2:$G$101,A29,'Sales_Data'!$N$2:$N$101,"Completed")</f>
        <v/>
      </c>
    </row>
    <row r="30">
      <c r="A30" s="24" t="inlineStr">
        <is>
          <t>Monitor</t>
        </is>
      </c>
      <c r="B30" s="24">
        <f>SUMIFS('Sales_Data'!$I$2:$I$101,'Sales_Data'!$G$2:$G$101,A30,'Sales_Data'!$N$2:$N$101,"Completed")</f>
        <v/>
      </c>
      <c r="C30" s="24">
        <f>COUNTIFS('Sales_Data'!$G$2:$G$101,A30,'Sales_Data'!$N$2:$N$101,"Completed")</f>
        <v/>
      </c>
      <c r="D30" s="25">
        <f>SUMIFS('Sales_Data'!$L$2:$L$101,'Sales_Data'!$G$2:$G$101,A30,'Sales_Data'!$N$2:$N$101,"Completed")</f>
        <v/>
      </c>
    </row>
    <row r="31">
      <c r="A31" s="24" t="inlineStr">
        <is>
          <t>Mouse</t>
        </is>
      </c>
      <c r="B31" s="24">
        <f>SUMIFS('Sales_Data'!$I$2:$I$101,'Sales_Data'!$G$2:$G$101,A31,'Sales_Data'!$N$2:$N$101,"Completed")</f>
        <v/>
      </c>
      <c r="C31" s="24">
        <f>COUNTIFS('Sales_Data'!$G$2:$G$101,A31,'Sales_Data'!$N$2:$N$101,"Completed")</f>
        <v/>
      </c>
      <c r="D31" s="25">
        <f>SUMIFS('Sales_Data'!$L$2:$L$101,'Sales_Data'!$G$2:$G$101,A31,'Sales_Data'!$N$2:$N$101,"Completed")</f>
        <v/>
      </c>
    </row>
    <row r="32">
      <c r="A32" s="24" t="inlineStr">
        <is>
          <t>Office Chair</t>
        </is>
      </c>
      <c r="B32" s="24">
        <f>SUMIFS('Sales_Data'!$I$2:$I$101,'Sales_Data'!$G$2:$G$101,A32,'Sales_Data'!$N$2:$N$101,"Completed")</f>
        <v/>
      </c>
      <c r="C32" s="24">
        <f>COUNTIFS('Sales_Data'!$G$2:$G$101,A32,'Sales_Data'!$N$2:$N$101,"Completed")</f>
        <v/>
      </c>
      <c r="D32" s="25">
        <f>SUMIFS('Sales_Data'!$L$2:$L$101,'Sales_Data'!$G$2:$G$101,A32,'Sales_Data'!$N$2:$N$101,"Completed")</f>
        <v/>
      </c>
    </row>
    <row r="33">
      <c r="A33" s="24" t="inlineStr">
        <is>
          <t>Printer</t>
        </is>
      </c>
      <c r="B33" s="24">
        <f>SUMIFS('Sales_Data'!$I$2:$I$101,'Sales_Data'!$G$2:$G$101,A33,'Sales_Data'!$N$2:$N$101,"Completed")</f>
        <v/>
      </c>
      <c r="C33" s="24">
        <f>COUNTIFS('Sales_Data'!$G$2:$G$101,A33,'Sales_Data'!$N$2:$N$101,"Completed")</f>
        <v/>
      </c>
      <c r="D33" s="25">
        <f>SUMIFS('Sales_Data'!$L$2:$L$101,'Sales_Data'!$G$2:$G$101,A33,'Sales_Data'!$N$2:$N$101,"Completed")</f>
        <v/>
      </c>
    </row>
    <row r="34">
      <c r="A34" s="24" t="inlineStr">
        <is>
          <t>USB Hub</t>
        </is>
      </c>
      <c r="B34" s="24">
        <f>SUMIFS('Sales_Data'!$I$2:$I$101,'Sales_Data'!$G$2:$G$101,A34,'Sales_Data'!$N$2:$N$101,"Completed")</f>
        <v/>
      </c>
      <c r="C34" s="24">
        <f>COUNTIFS('Sales_Data'!$G$2:$G$101,A34,'Sales_Data'!$N$2:$N$101,"Completed")</f>
        <v/>
      </c>
      <c r="D34" s="25">
        <f>SUMIFS('Sales_Data'!$L$2:$L$101,'Sales_Data'!$G$2:$G$101,A34,'Sales_Data'!$N$2:$N$101,"Completed")</f>
        <v/>
      </c>
    </row>
    <row r="35">
      <c r="A35" s="24" t="inlineStr">
        <is>
          <t>Webcam</t>
        </is>
      </c>
      <c r="B35" s="24">
        <f>SUMIFS('Sales_Data'!$I$2:$I$101,'Sales_Data'!$G$2:$G$101,A35,'Sales_Data'!$N$2:$N$101,"Completed")</f>
        <v/>
      </c>
      <c r="C35" s="24">
        <f>COUNTIFS('Sales_Data'!$G$2:$G$101,A35,'Sales_Data'!$N$2:$N$101,"Completed")</f>
        <v/>
      </c>
      <c r="D35" s="25">
        <f>SUMIFS('Sales_Data'!$L$2:$L$101,'Sales_Data'!$G$2:$G$101,A35,'Sales_Data'!$N$2:$N$101,"Completed")</f>
        <v/>
      </c>
    </row>
  </sheetData>
  <mergeCells count="8">
    <mergeCell ref="D12:F12"/>
    <mergeCell ref="D3:F3"/>
    <mergeCell ref="A3:C3"/>
    <mergeCell ref="A24:D24"/>
    <mergeCell ref="G3:I3"/>
    <mergeCell ref="A1:H1"/>
    <mergeCell ref="A12:C12"/>
    <mergeCell ref="F24:H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28" t="inlineStr">
        <is>
          <t>EXCEL SALES DASHBOARD — DETAILED GUIDE</t>
        </is>
      </c>
    </row>
    <row r="2"/>
    <row r="4">
      <c r="A4" s="29" t="inlineStr">
        <is>
          <t>Topic</t>
        </is>
      </c>
      <c r="B4" s="29" t="inlineStr">
        <is>
          <t>Explanation</t>
        </is>
      </c>
    </row>
    <row r="5" ht="44" customHeight="1">
      <c r="A5" s="30" t="inlineStr">
        <is>
          <t>1. Dashboard purpose</t>
        </is>
      </c>
      <c r="B5" s="31" t="inlineStr">
        <is>
          <t>The dashboard converts the raw 100-order sales dataset into an executive view of revenue, completed sales, units, completion rate, trends and product/category/city performance.</t>
        </is>
      </c>
    </row>
    <row r="6" ht="44" customHeight="1">
      <c r="A6" s="30" t="inlineStr">
        <is>
          <t>2. KPI logic</t>
        </is>
      </c>
      <c r="B6" s="31" t="inlineStr">
        <is>
          <t>Total Orders = all orders. Total Sales = all order amounts. Completed Sales = sales from Completed orders only. Units Sold = quantity from Completed orders. Average Order Value = average Total_Amount for Completed orders. Completion Rate = Completed orders ÷ all orders.</t>
        </is>
      </c>
    </row>
    <row r="7" ht="44" customHeight="1">
      <c r="A7" s="30" t="inlineStr">
        <is>
          <t>3. Why use Completed orders?</t>
        </is>
      </c>
      <c r="B7" s="31" t="inlineStr">
        <is>
          <t>Pending and Cancelled orders are not finalized sales. Separating them prevents the performance view from overstating realized sales.</t>
        </is>
      </c>
    </row>
    <row r="8" ht="44" customHeight="1">
      <c r="A8" s="30" t="inlineStr">
        <is>
          <t>4. Monthly trend</t>
        </is>
      </c>
      <c r="B8" s="31" t="inlineStr">
        <is>
          <t>The monthly chart uses completed sales by month, making it easy to see strong and weak periods and identify seasonality.</t>
        </is>
      </c>
    </row>
    <row r="9" ht="44" customHeight="1">
      <c r="A9" s="30" t="inlineStr">
        <is>
          <t>5. Category analysis</t>
        </is>
      </c>
      <c r="B9" s="31" t="inlineStr">
        <is>
          <t>Compare Electronics, Accessories and Furniture by completed order count and sales value. This helps identify the most valuable product category.</t>
        </is>
      </c>
    </row>
    <row r="10" ht="44" customHeight="1">
      <c r="A10" s="30" t="inlineStr">
        <is>
          <t>6. City analysis</t>
        </is>
      </c>
      <c r="B10" s="31" t="inlineStr">
        <is>
          <t>Completed sales are summarized by city. Use this to identify stronger markets and possible locations for marketing or sales focus.</t>
        </is>
      </c>
    </row>
    <row r="11" ht="44" customHeight="1">
      <c r="A11" s="30" t="inlineStr">
        <is>
          <t>7. Payment analysis</t>
        </is>
      </c>
      <c r="B11" s="31" t="inlineStr">
        <is>
          <t>Shows completed order count and sales by Card, PayPal and Bank Transfer. This can help evaluate customer payment preferences.</t>
        </is>
      </c>
    </row>
    <row r="12" ht="44" customHeight="1">
      <c r="A12" s="30" t="inlineStr">
        <is>
          <t>8. Product analysis</t>
        </is>
      </c>
      <c r="B12" s="31" t="inlineStr">
        <is>
          <t>Top Products ranks products by completed sales and also provides units/orders in the Analysis sheet. This is useful for inventory and product strategy.</t>
        </is>
      </c>
    </row>
    <row r="13" ht="44" customHeight="1">
      <c r="A13" s="30" t="inlineStr">
        <is>
          <t>9. Status analysis</t>
        </is>
      </c>
      <c r="B13" s="31" t="inlineStr">
        <is>
          <t>Completed, Pending and Cancelled orders are separated so you can monitor conversion and potential revenue at risk.</t>
        </is>
      </c>
    </row>
    <row r="14" ht="44" customHeight="1">
      <c r="A14" s="30" t="inlineStr">
        <is>
          <t>10. Data sheet</t>
        </is>
      </c>
      <c r="B14" s="31" t="inlineStr">
        <is>
          <t>Sales_Data is formatted as an Excel Table called SalesData. Filters and calculated helper columns are included.</t>
        </is>
      </c>
    </row>
    <row r="15" ht="44" customHeight="1">
      <c r="A15" s="30" t="inlineStr">
        <is>
          <t>11. Data cleaning checks</t>
        </is>
      </c>
      <c r="B15" s="31" t="inlineStr">
        <is>
          <t>For a real dataset, check duplicate Order_IDs, blank dates, invalid quantities, negative prices/amounts, inconsistent category/status spelling and discount values outside the expected range.</t>
        </is>
      </c>
    </row>
    <row r="16" ht="44" customHeight="1">
      <c r="A16" s="30" t="inlineStr">
        <is>
          <t>12. How to extend it</t>
        </is>
      </c>
      <c r="B16" s="31" t="inlineStr">
        <is>
          <t>Add more rows to the SalesData table, then recalculate/refresh in Excel. For advanced interactivity, create PivotTables from SalesData and add Slicers for Category, City, Status, Gender and Payment Method.</t>
        </is>
      </c>
    </row>
    <row r="17" ht="44" customHeight="1">
      <c r="A17" s="30" t="inlineStr">
        <is>
          <t>13. Interview explanation</t>
        </is>
      </c>
      <c r="B17" s="31" t="inlineStr">
        <is>
          <t>“I cleaned and structured the sales data, created KPI calculations, segmented performance by category, city, product, payment and status, analyzed monthly trends, and built a management dashboard to support data-driven decisions.”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Excel Sales Dashboard</dc:title>
  <dc:subject xmlns:dc="http://purl.org/dc/elements/1.1/">Sales analysis dashboard with KPI, trend and segmentation analysis</dc:subject>
  <dcterms:created xmlns:dcterms="http://purl.org/dc/terms/" xmlns:xsi="http://www.w3.org/2001/XMLSchema-instance" xsi:type="dcterms:W3CDTF">2026-09-15T18:18:51Z</dcterms:created>
  <dcterms:modified xmlns:dcterms="http://purl.org/dc/terms/" xmlns:xsi="http://www.w3.org/2001/XMLSchema-instance" xsi:type="dcterms:W3CDTF">2026-09-15T18:19:11Z</dcterms:modified>
</cp:coreProperties>
</file>